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/>
  <workbookPr filterPrivacy="1" codeName="ThisWorkbook" defaultThemeVersion="124226"/>
  <xr:revisionPtr revIDLastSave="0" documentId="8_{871C160A-1F9B-4D40-A319-07B77D614C8B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analytical model of rm" sheetId="1" r:id="rId1"/>
    <sheet name="ratio between lkb and An" sheetId="3" r:id="rId2"/>
  </sheets>
  <definedNames>
    <definedName name="OLE_LINK16" localSheetId="0">'analytical model of rm'!$A$1</definedName>
  </definedNames>
  <calcPr calcId="191029" concurrentCalc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7" i="1" l="1"/>
  <c r="AU8" i="1"/>
  <c r="AU9" i="1"/>
  <c r="AU10" i="1"/>
  <c r="AU11" i="1"/>
  <c r="AU12" i="1"/>
  <c r="AU13" i="1"/>
  <c r="AU14" i="1"/>
  <c r="AU15" i="1"/>
  <c r="AU16" i="1"/>
  <c r="AU17" i="1"/>
  <c r="AU18" i="1"/>
  <c r="AU19" i="1"/>
  <c r="AU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6" i="1"/>
  <c r="G6" i="1"/>
  <c r="H6" i="1"/>
  <c r="AB6" i="1"/>
  <c r="AZ7" i="1"/>
  <c r="P6" i="1"/>
  <c r="Q6" i="1"/>
  <c r="BB7" i="1"/>
  <c r="L6" i="1"/>
  <c r="BC7" i="1"/>
  <c r="BD7" i="1"/>
  <c r="BE7" i="1"/>
  <c r="BH7" i="1"/>
  <c r="BG7" i="1"/>
  <c r="BF7" i="1"/>
  <c r="BI7" i="1"/>
  <c r="BJ7" i="1"/>
  <c r="BO7" i="1"/>
  <c r="BL7" i="1"/>
  <c r="AK6" i="1"/>
  <c r="AN6" i="1"/>
  <c r="BP7" i="1"/>
  <c r="BM7" i="1"/>
  <c r="BQ7" i="1"/>
  <c r="AH6" i="1"/>
  <c r="BN7" i="1"/>
  <c r="BR7" i="1"/>
  <c r="BS7" i="1"/>
  <c r="BT7" i="1"/>
  <c r="BU7" i="1"/>
  <c r="S6" i="1"/>
  <c r="CA7" i="1"/>
  <c r="CB7" i="1"/>
  <c r="CC7" i="1"/>
  <c r="CD7" i="1"/>
  <c r="CE7" i="1"/>
  <c r="BW7" i="1"/>
  <c r="BX7" i="1"/>
  <c r="BY7" i="1"/>
  <c r="CG7" i="1"/>
  <c r="AO6" i="1"/>
  <c r="CH7" i="1"/>
  <c r="CI7" i="1"/>
  <c r="BZ7" i="1"/>
  <c r="CJ7" i="1"/>
  <c r="CK7" i="1"/>
  <c r="CF7" i="1"/>
  <c r="CL7" i="1"/>
  <c r="CM7" i="1"/>
  <c r="CN7" i="1"/>
  <c r="CO7" i="1"/>
  <c r="CQ7" i="1"/>
  <c r="AZ8" i="1"/>
  <c r="BB8" i="1"/>
  <c r="BC8" i="1"/>
  <c r="BD8" i="1"/>
  <c r="BE8" i="1"/>
  <c r="BH8" i="1"/>
  <c r="BG8" i="1"/>
  <c r="BF8" i="1"/>
  <c r="BI8" i="1"/>
  <c r="BJ8" i="1"/>
  <c r="BO8" i="1"/>
  <c r="BL8" i="1"/>
  <c r="BP8" i="1"/>
  <c r="BM8" i="1"/>
  <c r="BQ8" i="1"/>
  <c r="BN8" i="1"/>
  <c r="BR8" i="1"/>
  <c r="BS8" i="1"/>
  <c r="BT8" i="1"/>
  <c r="BU8" i="1"/>
  <c r="CA8" i="1"/>
  <c r="CB8" i="1"/>
  <c r="CC8" i="1"/>
  <c r="CD8" i="1"/>
  <c r="CE8" i="1"/>
  <c r="BW8" i="1"/>
  <c r="BX8" i="1"/>
  <c r="BY8" i="1"/>
  <c r="CG8" i="1"/>
  <c r="CH8" i="1"/>
  <c r="CI8" i="1"/>
  <c r="BZ8" i="1"/>
  <c r="CJ8" i="1"/>
  <c r="CK8" i="1"/>
  <c r="CF8" i="1"/>
  <c r="CL8" i="1"/>
  <c r="CM8" i="1"/>
  <c r="CN8" i="1"/>
  <c r="CO8" i="1"/>
  <c r="CQ8" i="1"/>
  <c r="AZ9" i="1"/>
  <c r="BB9" i="1"/>
  <c r="BC9" i="1"/>
  <c r="BD9" i="1"/>
  <c r="BE9" i="1"/>
  <c r="BH9" i="1"/>
  <c r="BG9" i="1"/>
  <c r="BF9" i="1"/>
  <c r="BI9" i="1"/>
  <c r="BJ9" i="1"/>
  <c r="BO9" i="1"/>
  <c r="BL9" i="1"/>
  <c r="BP9" i="1"/>
  <c r="BM9" i="1"/>
  <c r="BQ9" i="1"/>
  <c r="BN9" i="1"/>
  <c r="BR9" i="1"/>
  <c r="BS9" i="1"/>
  <c r="BT9" i="1"/>
  <c r="BU9" i="1"/>
  <c r="CA9" i="1"/>
  <c r="CB9" i="1"/>
  <c r="CC9" i="1"/>
  <c r="CD9" i="1"/>
  <c r="CE9" i="1"/>
  <c r="BW9" i="1"/>
  <c r="BX9" i="1"/>
  <c r="BY9" i="1"/>
  <c r="CG9" i="1"/>
  <c r="CH9" i="1"/>
  <c r="CI9" i="1"/>
  <c r="BZ9" i="1"/>
  <c r="CJ9" i="1"/>
  <c r="CK9" i="1"/>
  <c r="CF9" i="1"/>
  <c r="CL9" i="1"/>
  <c r="CM9" i="1"/>
  <c r="CN9" i="1"/>
  <c r="CO9" i="1"/>
  <c r="CQ9" i="1"/>
  <c r="AZ10" i="1"/>
  <c r="BB10" i="1"/>
  <c r="BC10" i="1"/>
  <c r="BD10" i="1"/>
  <c r="BE10" i="1"/>
  <c r="BH10" i="1"/>
  <c r="BG10" i="1"/>
  <c r="BF10" i="1"/>
  <c r="BI10" i="1"/>
  <c r="BJ10" i="1"/>
  <c r="BO10" i="1"/>
  <c r="BL10" i="1"/>
  <c r="BP10" i="1"/>
  <c r="BM10" i="1"/>
  <c r="BQ10" i="1"/>
  <c r="BN10" i="1"/>
  <c r="BR10" i="1"/>
  <c r="BS10" i="1"/>
  <c r="BT10" i="1"/>
  <c r="BU10" i="1"/>
  <c r="CA10" i="1"/>
  <c r="CB10" i="1"/>
  <c r="CC10" i="1"/>
  <c r="CD10" i="1"/>
  <c r="CE10" i="1"/>
  <c r="BW10" i="1"/>
  <c r="BX10" i="1"/>
  <c r="BY10" i="1"/>
  <c r="CG10" i="1"/>
  <c r="CH10" i="1"/>
  <c r="CI10" i="1"/>
  <c r="BZ10" i="1"/>
  <c r="CJ10" i="1"/>
  <c r="CK10" i="1"/>
  <c r="CF10" i="1"/>
  <c r="CL10" i="1"/>
  <c r="CM10" i="1"/>
  <c r="CN10" i="1"/>
  <c r="CO10" i="1"/>
  <c r="CQ10" i="1"/>
  <c r="AZ11" i="1"/>
  <c r="BB11" i="1"/>
  <c r="BC11" i="1"/>
  <c r="BD11" i="1"/>
  <c r="BE11" i="1"/>
  <c r="BH11" i="1"/>
  <c r="BG11" i="1"/>
  <c r="BF11" i="1"/>
  <c r="BI11" i="1"/>
  <c r="BJ11" i="1"/>
  <c r="BO11" i="1"/>
  <c r="BL11" i="1"/>
  <c r="BP11" i="1"/>
  <c r="BM11" i="1"/>
  <c r="BQ11" i="1"/>
  <c r="BN11" i="1"/>
  <c r="BR11" i="1"/>
  <c r="BS11" i="1"/>
  <c r="BT11" i="1"/>
  <c r="BU11" i="1"/>
  <c r="CA11" i="1"/>
  <c r="CB11" i="1"/>
  <c r="CC11" i="1"/>
  <c r="CD11" i="1"/>
  <c r="CE11" i="1"/>
  <c r="BW11" i="1"/>
  <c r="BX11" i="1"/>
  <c r="BY11" i="1"/>
  <c r="CG11" i="1"/>
  <c r="CH11" i="1"/>
  <c r="CI11" i="1"/>
  <c r="BZ11" i="1"/>
  <c r="CJ11" i="1"/>
  <c r="CK11" i="1"/>
  <c r="CF11" i="1"/>
  <c r="CL11" i="1"/>
  <c r="CM11" i="1"/>
  <c r="CN11" i="1"/>
  <c r="CO11" i="1"/>
  <c r="CQ11" i="1"/>
  <c r="AZ12" i="1"/>
  <c r="BB12" i="1"/>
  <c r="BC12" i="1"/>
  <c r="BD12" i="1"/>
  <c r="BE12" i="1"/>
  <c r="BH12" i="1"/>
  <c r="BG12" i="1"/>
  <c r="BF12" i="1"/>
  <c r="BI12" i="1"/>
  <c r="BJ12" i="1"/>
  <c r="BO12" i="1"/>
  <c r="BL12" i="1"/>
  <c r="BP12" i="1"/>
  <c r="BM12" i="1"/>
  <c r="BQ12" i="1"/>
  <c r="BN12" i="1"/>
  <c r="BR12" i="1"/>
  <c r="BS12" i="1"/>
  <c r="BT12" i="1"/>
  <c r="BU12" i="1"/>
  <c r="CA12" i="1"/>
  <c r="CB12" i="1"/>
  <c r="CC12" i="1"/>
  <c r="CD12" i="1"/>
  <c r="CE12" i="1"/>
  <c r="BW12" i="1"/>
  <c r="BX12" i="1"/>
  <c r="BY12" i="1"/>
  <c r="CG12" i="1"/>
  <c r="CH12" i="1"/>
  <c r="CI12" i="1"/>
  <c r="BZ12" i="1"/>
  <c r="CJ12" i="1"/>
  <c r="CK12" i="1"/>
  <c r="CF12" i="1"/>
  <c r="CL12" i="1"/>
  <c r="CM12" i="1"/>
  <c r="CN12" i="1"/>
  <c r="CO12" i="1"/>
  <c r="CQ12" i="1"/>
  <c r="AZ13" i="1"/>
  <c r="BB13" i="1"/>
  <c r="BC13" i="1"/>
  <c r="BD13" i="1"/>
  <c r="BE13" i="1"/>
  <c r="BH13" i="1"/>
  <c r="BG13" i="1"/>
  <c r="BF13" i="1"/>
  <c r="BI13" i="1"/>
  <c r="BJ13" i="1"/>
  <c r="BO13" i="1"/>
  <c r="BL13" i="1"/>
  <c r="BP13" i="1"/>
  <c r="BM13" i="1"/>
  <c r="BQ13" i="1"/>
  <c r="BN13" i="1"/>
  <c r="BR13" i="1"/>
  <c r="BS13" i="1"/>
  <c r="BT13" i="1"/>
  <c r="BU13" i="1"/>
  <c r="CA13" i="1"/>
  <c r="CB13" i="1"/>
  <c r="CC13" i="1"/>
  <c r="CD13" i="1"/>
  <c r="CE13" i="1"/>
  <c r="BW13" i="1"/>
  <c r="BX13" i="1"/>
  <c r="BY13" i="1"/>
  <c r="CG13" i="1"/>
  <c r="CH13" i="1"/>
  <c r="CI13" i="1"/>
  <c r="BZ13" i="1"/>
  <c r="CJ13" i="1"/>
  <c r="CK13" i="1"/>
  <c r="CF13" i="1"/>
  <c r="CL13" i="1"/>
  <c r="CM13" i="1"/>
  <c r="CN13" i="1"/>
  <c r="CO13" i="1"/>
  <c r="CQ13" i="1"/>
  <c r="AZ14" i="1"/>
  <c r="BB14" i="1"/>
  <c r="BC14" i="1"/>
  <c r="BD14" i="1"/>
  <c r="BE14" i="1"/>
  <c r="BH14" i="1"/>
  <c r="BG14" i="1"/>
  <c r="BF14" i="1"/>
  <c r="BI14" i="1"/>
  <c r="BJ14" i="1"/>
  <c r="BO14" i="1"/>
  <c r="BL14" i="1"/>
  <c r="BP14" i="1"/>
  <c r="BM14" i="1"/>
  <c r="BQ14" i="1"/>
  <c r="BN14" i="1"/>
  <c r="BR14" i="1"/>
  <c r="BS14" i="1"/>
  <c r="BT14" i="1"/>
  <c r="BU14" i="1"/>
  <c r="CA14" i="1"/>
  <c r="CB14" i="1"/>
  <c r="CC14" i="1"/>
  <c r="CD14" i="1"/>
  <c r="CE14" i="1"/>
  <c r="BW14" i="1"/>
  <c r="BX14" i="1"/>
  <c r="BY14" i="1"/>
  <c r="CG14" i="1"/>
  <c r="CH14" i="1"/>
  <c r="CI14" i="1"/>
  <c r="BZ14" i="1"/>
  <c r="CJ14" i="1"/>
  <c r="CK14" i="1"/>
  <c r="CF14" i="1"/>
  <c r="CL14" i="1"/>
  <c r="CM14" i="1"/>
  <c r="CN14" i="1"/>
  <c r="CO14" i="1"/>
  <c r="CQ14" i="1"/>
  <c r="AZ15" i="1"/>
  <c r="BB15" i="1"/>
  <c r="BC15" i="1"/>
  <c r="BD15" i="1"/>
  <c r="BE15" i="1"/>
  <c r="BH15" i="1"/>
  <c r="BG15" i="1"/>
  <c r="BF15" i="1"/>
  <c r="BI15" i="1"/>
  <c r="BJ15" i="1"/>
  <c r="BO15" i="1"/>
  <c r="BL15" i="1"/>
  <c r="BP15" i="1"/>
  <c r="BM15" i="1"/>
  <c r="BQ15" i="1"/>
  <c r="BN15" i="1"/>
  <c r="BR15" i="1"/>
  <c r="BS15" i="1"/>
  <c r="BT15" i="1"/>
  <c r="BU15" i="1"/>
  <c r="CA15" i="1"/>
  <c r="CB15" i="1"/>
  <c r="CC15" i="1"/>
  <c r="CD15" i="1"/>
  <c r="CE15" i="1"/>
  <c r="BW15" i="1"/>
  <c r="BX15" i="1"/>
  <c r="BY15" i="1"/>
  <c r="CG15" i="1"/>
  <c r="CH15" i="1"/>
  <c r="CI15" i="1"/>
  <c r="BZ15" i="1"/>
  <c r="CJ15" i="1"/>
  <c r="CK15" i="1"/>
  <c r="CF15" i="1"/>
  <c r="CL15" i="1"/>
  <c r="CM15" i="1"/>
  <c r="CN15" i="1"/>
  <c r="CO15" i="1"/>
  <c r="CQ15" i="1"/>
  <c r="AZ16" i="1"/>
  <c r="BB16" i="1"/>
  <c r="BC16" i="1"/>
  <c r="BD16" i="1"/>
  <c r="BE16" i="1"/>
  <c r="BH16" i="1"/>
  <c r="BG16" i="1"/>
  <c r="BF16" i="1"/>
  <c r="BI16" i="1"/>
  <c r="BJ16" i="1"/>
  <c r="BO16" i="1"/>
  <c r="BL16" i="1"/>
  <c r="BP16" i="1"/>
  <c r="BM16" i="1"/>
  <c r="BQ16" i="1"/>
  <c r="BN16" i="1"/>
  <c r="BR16" i="1"/>
  <c r="BS16" i="1"/>
  <c r="BT16" i="1"/>
  <c r="BU16" i="1"/>
  <c r="CA16" i="1"/>
  <c r="CB16" i="1"/>
  <c r="CC16" i="1"/>
  <c r="CD16" i="1"/>
  <c r="CE16" i="1"/>
  <c r="BW16" i="1"/>
  <c r="BX16" i="1"/>
  <c r="BY16" i="1"/>
  <c r="CG16" i="1"/>
  <c r="CH16" i="1"/>
  <c r="CI16" i="1"/>
  <c r="BZ16" i="1"/>
  <c r="CJ16" i="1"/>
  <c r="CK16" i="1"/>
  <c r="CF16" i="1"/>
  <c r="CL16" i="1"/>
  <c r="CM16" i="1"/>
  <c r="CN16" i="1"/>
  <c r="CO16" i="1"/>
  <c r="CQ16" i="1"/>
  <c r="AZ17" i="1"/>
  <c r="BB17" i="1"/>
  <c r="BC17" i="1"/>
  <c r="BD17" i="1"/>
  <c r="BE17" i="1"/>
  <c r="BH17" i="1"/>
  <c r="BG17" i="1"/>
  <c r="BF17" i="1"/>
  <c r="BI17" i="1"/>
  <c r="BJ17" i="1"/>
  <c r="BO17" i="1"/>
  <c r="BL17" i="1"/>
  <c r="BP17" i="1"/>
  <c r="BM17" i="1"/>
  <c r="BQ17" i="1"/>
  <c r="BN17" i="1"/>
  <c r="BR17" i="1"/>
  <c r="BS17" i="1"/>
  <c r="BT17" i="1"/>
  <c r="BU17" i="1"/>
  <c r="CA17" i="1"/>
  <c r="CB17" i="1"/>
  <c r="CC17" i="1"/>
  <c r="CD17" i="1"/>
  <c r="CE17" i="1"/>
  <c r="BW17" i="1"/>
  <c r="BX17" i="1"/>
  <c r="BY17" i="1"/>
  <c r="CG17" i="1"/>
  <c r="CH17" i="1"/>
  <c r="CI17" i="1"/>
  <c r="BZ17" i="1"/>
  <c r="CJ17" i="1"/>
  <c r="CK17" i="1"/>
  <c r="CF17" i="1"/>
  <c r="CL17" i="1"/>
  <c r="CM17" i="1"/>
  <c r="CN17" i="1"/>
  <c r="CO17" i="1"/>
  <c r="CQ17" i="1"/>
  <c r="AZ18" i="1"/>
  <c r="BB18" i="1"/>
  <c r="BC18" i="1"/>
  <c r="BD18" i="1"/>
  <c r="BE18" i="1"/>
  <c r="BH18" i="1"/>
  <c r="BG18" i="1"/>
  <c r="BF18" i="1"/>
  <c r="BI18" i="1"/>
  <c r="BJ18" i="1"/>
  <c r="BO18" i="1"/>
  <c r="BL18" i="1"/>
  <c r="BP18" i="1"/>
  <c r="BM18" i="1"/>
  <c r="BQ18" i="1"/>
  <c r="BN18" i="1"/>
  <c r="BR18" i="1"/>
  <c r="BS18" i="1"/>
  <c r="BT18" i="1"/>
  <c r="BU18" i="1"/>
  <c r="CA18" i="1"/>
  <c r="CB18" i="1"/>
  <c r="CC18" i="1"/>
  <c r="CD18" i="1"/>
  <c r="CE18" i="1"/>
  <c r="BW18" i="1"/>
  <c r="BX18" i="1"/>
  <c r="BY18" i="1"/>
  <c r="CG18" i="1"/>
  <c r="CH18" i="1"/>
  <c r="CI18" i="1"/>
  <c r="BZ18" i="1"/>
  <c r="CJ18" i="1"/>
  <c r="CK18" i="1"/>
  <c r="CF18" i="1"/>
  <c r="CL18" i="1"/>
  <c r="CM18" i="1"/>
  <c r="CN18" i="1"/>
  <c r="CO18" i="1"/>
  <c r="CQ18" i="1"/>
  <c r="AZ19" i="1"/>
  <c r="BB19" i="1"/>
  <c r="BC19" i="1"/>
  <c r="BD19" i="1"/>
  <c r="BE19" i="1"/>
  <c r="BH19" i="1"/>
  <c r="BG19" i="1"/>
  <c r="BF19" i="1"/>
  <c r="BI19" i="1"/>
  <c r="BJ19" i="1"/>
  <c r="BO19" i="1"/>
  <c r="BL19" i="1"/>
  <c r="BP19" i="1"/>
  <c r="BM19" i="1"/>
  <c r="BQ19" i="1"/>
  <c r="BN19" i="1"/>
  <c r="BR19" i="1"/>
  <c r="BS19" i="1"/>
  <c r="BT19" i="1"/>
  <c r="BU19" i="1"/>
  <c r="CA19" i="1"/>
  <c r="CB19" i="1"/>
  <c r="CC19" i="1"/>
  <c r="CD19" i="1"/>
  <c r="CE19" i="1"/>
  <c r="BW19" i="1"/>
  <c r="BX19" i="1"/>
  <c r="BY19" i="1"/>
  <c r="CG19" i="1"/>
  <c r="CH19" i="1"/>
  <c r="CI19" i="1"/>
  <c r="BZ19" i="1"/>
  <c r="CJ19" i="1"/>
  <c r="CK19" i="1"/>
  <c r="CF19" i="1"/>
  <c r="CL19" i="1"/>
  <c r="CM19" i="1"/>
  <c r="CN19" i="1"/>
  <c r="CO19" i="1"/>
  <c r="CQ19" i="1"/>
  <c r="AZ6" i="1"/>
  <c r="BB6" i="1"/>
  <c r="BC6" i="1"/>
  <c r="BD6" i="1"/>
  <c r="BE6" i="1"/>
  <c r="BH6" i="1"/>
  <c r="BG6" i="1"/>
  <c r="BF6" i="1"/>
  <c r="BI6" i="1"/>
  <c r="BJ6" i="1"/>
  <c r="BO6" i="1"/>
  <c r="BL6" i="1"/>
  <c r="BP6" i="1"/>
  <c r="BM6" i="1"/>
  <c r="BQ6" i="1"/>
  <c r="BN6" i="1"/>
  <c r="BR6" i="1"/>
  <c r="BS6" i="1"/>
  <c r="BT6" i="1"/>
  <c r="BU6" i="1"/>
  <c r="CA6" i="1"/>
  <c r="CB6" i="1"/>
  <c r="CC6" i="1"/>
  <c r="CD6" i="1"/>
  <c r="CE6" i="1"/>
  <c r="BW6" i="1"/>
  <c r="BX6" i="1"/>
  <c r="BY6" i="1"/>
  <c r="CG6" i="1"/>
  <c r="CH6" i="1"/>
  <c r="CI6" i="1"/>
  <c r="BZ6" i="1"/>
  <c r="CJ6" i="1"/>
  <c r="CK6" i="1"/>
  <c r="CF6" i="1"/>
  <c r="CL6" i="1"/>
  <c r="CM6" i="1"/>
  <c r="CN6" i="1"/>
  <c r="CO6" i="1"/>
  <c r="CQ6" i="1"/>
  <c r="AR15" i="1"/>
  <c r="AR7" i="1"/>
  <c r="AR8" i="1"/>
  <c r="AR9" i="1"/>
  <c r="AR10" i="1"/>
  <c r="AR11" i="1"/>
  <c r="AR12" i="1"/>
  <c r="AR13" i="1"/>
  <c r="AR14" i="1"/>
  <c r="AR16" i="1"/>
  <c r="AR17" i="1"/>
  <c r="AR18" i="1"/>
  <c r="AR19" i="1"/>
  <c r="AR6" i="1"/>
  <c r="J6" i="1"/>
  <c r="AW7" i="1"/>
  <c r="AV7" i="1"/>
  <c r="AX7" i="1"/>
  <c r="AW8" i="1"/>
  <c r="AV8" i="1"/>
  <c r="AX8" i="1"/>
  <c r="AW9" i="1"/>
  <c r="AV9" i="1"/>
  <c r="AX9" i="1"/>
  <c r="AW10" i="1"/>
  <c r="AV10" i="1"/>
  <c r="AX10" i="1"/>
  <c r="AW11" i="1"/>
  <c r="AV11" i="1"/>
  <c r="AX11" i="1"/>
  <c r="AW12" i="1"/>
  <c r="AV12" i="1"/>
  <c r="AX12" i="1"/>
  <c r="AW13" i="1"/>
  <c r="AV13" i="1"/>
  <c r="AX13" i="1"/>
  <c r="AW14" i="1"/>
  <c r="AV14" i="1"/>
  <c r="AX14" i="1"/>
  <c r="AW15" i="1"/>
  <c r="AV15" i="1"/>
  <c r="AX15" i="1"/>
  <c r="AW16" i="1"/>
  <c r="AV16" i="1"/>
  <c r="AX16" i="1"/>
  <c r="AW17" i="1"/>
  <c r="AV17" i="1"/>
  <c r="AX17" i="1"/>
  <c r="AW18" i="1"/>
  <c r="AV18" i="1"/>
  <c r="AX18" i="1"/>
  <c r="AW19" i="1"/>
  <c r="AV19" i="1"/>
  <c r="AX19" i="1"/>
  <c r="AW6" i="1"/>
  <c r="AV6" i="1"/>
  <c r="AX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6" i="1"/>
</calcChain>
</file>

<file path=xl/sharedStrings.xml><?xml version="1.0" encoding="utf-8"?>
<sst xmlns="http://schemas.openxmlformats.org/spreadsheetml/2006/main" count="283" uniqueCount="218">
  <si>
    <r>
      <t>D</t>
    </r>
    <r>
      <rPr>
        <i/>
        <vertAlign val="subscript"/>
        <sz val="10.5"/>
        <color theme="1"/>
        <rFont val="Times New Roman"/>
        <family val="1"/>
      </rPr>
      <t>c</t>
    </r>
  </si>
  <si>
    <r>
      <t>D</t>
    </r>
    <r>
      <rPr>
        <i/>
        <vertAlign val="subscript"/>
        <sz val="10.5"/>
        <color theme="1"/>
        <rFont val="Times New Roman"/>
        <family val="1"/>
      </rPr>
      <t>b</t>
    </r>
  </si>
  <si>
    <r>
      <t>r</t>
    </r>
    <r>
      <rPr>
        <i/>
        <vertAlign val="subscript"/>
        <sz val="10.5"/>
        <color theme="1"/>
        <rFont val="Times New Roman"/>
        <family val="1"/>
      </rPr>
      <t>f,c</t>
    </r>
  </si>
  <si>
    <r>
      <t>r</t>
    </r>
    <r>
      <rPr>
        <i/>
        <vertAlign val="subscript"/>
        <sz val="10.5"/>
        <color theme="1"/>
        <rFont val="Times New Roman"/>
        <family val="1"/>
      </rPr>
      <t>f,s</t>
    </r>
  </si>
  <si>
    <t>dc</t>
  </si>
  <si>
    <t>ds</t>
  </si>
  <si>
    <r>
      <t>k</t>
    </r>
    <r>
      <rPr>
        <i/>
        <vertAlign val="subscript"/>
        <sz val="10.5"/>
        <color theme="1"/>
        <rFont val="Times New Roman"/>
        <family val="1"/>
      </rPr>
      <t>a</t>
    </r>
  </si>
  <si>
    <r>
      <t>X</t>
    </r>
    <r>
      <rPr>
        <i/>
        <vertAlign val="subscript"/>
        <sz val="10.5"/>
        <color theme="1"/>
        <rFont val="Times New Roman"/>
        <family val="1"/>
      </rPr>
      <t>a,c</t>
    </r>
  </si>
  <si>
    <r>
      <t>X</t>
    </r>
    <r>
      <rPr>
        <i/>
        <vertAlign val="subscript"/>
        <sz val="10.5"/>
        <color theme="1"/>
        <rFont val="Times New Roman"/>
        <family val="1"/>
      </rPr>
      <t>a,s</t>
    </r>
  </si>
  <si>
    <t>H</t>
  </si>
  <si>
    <r>
      <t>pH</t>
    </r>
    <r>
      <rPr>
        <i/>
        <vertAlign val="subscript"/>
        <sz val="10.5"/>
        <color theme="1"/>
        <rFont val="Times New Roman"/>
        <family val="1"/>
      </rPr>
      <t>c</t>
    </r>
  </si>
  <si>
    <r>
      <t>pH</t>
    </r>
    <r>
      <rPr>
        <i/>
        <vertAlign val="subscript"/>
        <sz val="10.5"/>
        <color theme="1"/>
        <rFont val="Times New Roman"/>
        <family val="1"/>
      </rPr>
      <t>s</t>
    </r>
  </si>
  <si>
    <r>
      <t>K</t>
    </r>
    <r>
      <rPr>
        <i/>
        <vertAlign val="subscript"/>
        <sz val="10.5"/>
        <color theme="1"/>
        <rFont val="Times New Roman"/>
        <family val="1"/>
      </rPr>
      <t>eq</t>
    </r>
  </si>
  <si>
    <r>
      <t>K</t>
    </r>
    <r>
      <rPr>
        <i/>
        <vertAlign val="subscript"/>
        <sz val="10.5"/>
        <color theme="1"/>
        <rFont val="Times New Roman"/>
        <family val="1"/>
      </rPr>
      <t>a</t>
    </r>
  </si>
  <si>
    <t>φ</t>
  </si>
  <si>
    <t>Name</t>
  </si>
  <si>
    <t>Symbol</t>
  </si>
  <si>
    <t>Value</t>
  </si>
  <si>
    <t>Units</t>
  </si>
  <si>
    <t>Eqn</t>
  </si>
  <si>
    <r>
      <t>m s</t>
    </r>
    <r>
      <rPr>
        <vertAlign val="superscript"/>
        <sz val="10.5"/>
        <color theme="1"/>
        <rFont val="Times New Roman"/>
        <family val="1"/>
      </rPr>
      <t>-1</t>
    </r>
  </si>
  <si>
    <t>I</t>
  </si>
  <si>
    <r>
      <t>m</t>
    </r>
    <r>
      <rPr>
        <vertAlign val="superscript"/>
        <sz val="10.5"/>
        <color theme="1"/>
        <rFont val="Times New Roman"/>
        <family val="1"/>
      </rPr>
      <t>2</t>
    </r>
    <r>
      <rPr>
        <sz val="10.5"/>
        <color theme="1"/>
        <rFont val="Times New Roman"/>
        <family val="1"/>
      </rPr>
      <t xml:space="preserve"> s</t>
    </r>
    <r>
      <rPr>
        <vertAlign val="superscript"/>
        <sz val="10.5"/>
        <color theme="1"/>
        <rFont val="Times New Roman"/>
        <family val="1"/>
      </rPr>
      <t>-1</t>
    </r>
  </si>
  <si>
    <t>II, IV</t>
  </si>
  <si>
    <r>
      <t>HCO</t>
    </r>
    <r>
      <rPr>
        <vertAlign val="subscript"/>
        <sz val="10.5"/>
        <color theme="1"/>
        <rFont val="Times New Roman"/>
        <family val="1"/>
      </rPr>
      <t>3</t>
    </r>
    <r>
      <rPr>
        <vertAlign val="superscript"/>
        <sz val="10.5"/>
        <color theme="1"/>
        <rFont val="Times New Roman"/>
        <family val="1"/>
      </rPr>
      <t>-</t>
    </r>
    <r>
      <rPr>
        <sz val="10.5"/>
        <color theme="1"/>
        <rFont val="Times New Roman"/>
        <family val="1"/>
      </rPr>
      <t xml:space="preserve"> diffusion coefficient</t>
    </r>
  </si>
  <si>
    <t>Cytosol viscosity</t>
  </si>
  <si>
    <t>-</t>
  </si>
  <si>
    <t>II</t>
  </si>
  <si>
    <t>Stroma viscosity</t>
  </si>
  <si>
    <t>IV</t>
  </si>
  <si>
    <t>thickness of cytosol between cell wall and chloroplast</t>
  </si>
  <si>
    <t>m</t>
  </si>
  <si>
    <t>thickness of chloroplast</t>
  </si>
  <si>
    <t>CA turnover rate</t>
  </si>
  <si>
    <r>
      <t>s</t>
    </r>
    <r>
      <rPr>
        <vertAlign val="superscript"/>
        <sz val="10.5"/>
        <color theme="1"/>
        <rFont val="Times New Roman"/>
        <family val="1"/>
      </rPr>
      <t>-1</t>
    </r>
  </si>
  <si>
    <r>
      <t>mol m</t>
    </r>
    <r>
      <rPr>
        <vertAlign val="superscript"/>
        <sz val="10.5"/>
        <color theme="1"/>
        <rFont val="Times New Roman"/>
        <family val="1"/>
      </rPr>
      <t>-3</t>
    </r>
  </si>
  <si>
    <r>
      <t>10</t>
    </r>
    <r>
      <rPr>
        <vertAlign val="superscript"/>
        <sz val="10.5"/>
        <color theme="1"/>
        <rFont val="Times New Roman"/>
        <family val="1"/>
      </rPr>
      <t>-pH</t>
    </r>
  </si>
  <si>
    <t>Cytosol pH</t>
  </si>
  <si>
    <t>CA equilibrium constant</t>
  </si>
  <si>
    <r>
      <t xml:space="preserve">CA hydration </t>
    </r>
    <r>
      <rPr>
        <i/>
        <sz val="10.5"/>
        <color theme="1"/>
        <rFont val="Times New Roman"/>
        <family val="1"/>
      </rPr>
      <t>K</t>
    </r>
    <r>
      <rPr>
        <i/>
        <vertAlign val="subscript"/>
        <sz val="10.5"/>
        <color theme="1"/>
        <rFont val="Times New Roman"/>
        <family val="1"/>
      </rPr>
      <t>m</t>
    </r>
  </si>
  <si>
    <t>Other variables</t>
  </si>
  <si>
    <t>Net photosynthesis rate</t>
  </si>
  <si>
    <r>
      <t>mol m</t>
    </r>
    <r>
      <rPr>
        <vertAlign val="superscript"/>
        <sz val="10.5"/>
        <color theme="1"/>
        <rFont val="Times New Roman"/>
        <family val="1"/>
      </rPr>
      <t>-2</t>
    </r>
    <r>
      <rPr>
        <sz val="10.5"/>
        <color theme="1"/>
        <rFont val="Times New Roman"/>
        <family val="1"/>
      </rPr>
      <t xml:space="preserve"> s</t>
    </r>
    <r>
      <rPr>
        <vertAlign val="superscript"/>
        <sz val="10.5"/>
        <color theme="1"/>
        <rFont val="Times New Roman"/>
        <family val="1"/>
      </rPr>
      <t>-1</t>
    </r>
  </si>
  <si>
    <t>II, III, IV</t>
  </si>
  <si>
    <t>Photorespiration rate</t>
  </si>
  <si>
    <t>III, IV</t>
  </si>
  <si>
    <t>Respiration rate</t>
  </si>
  <si>
    <t>Mitochondria position</t>
  </si>
  <si>
    <t>rI_wall</t>
    <phoneticPr fontId="1" type="noConversion"/>
  </si>
  <si>
    <t>rII_cyto</t>
    <phoneticPr fontId="1" type="noConversion"/>
  </si>
  <si>
    <t>rIII_se</t>
    <phoneticPr fontId="1" type="noConversion"/>
  </si>
  <si>
    <t>rIV_chlo</t>
    <phoneticPr fontId="1" type="noConversion"/>
  </si>
  <si>
    <t>resistance of cell wall</t>
    <phoneticPr fontId="1" type="noConversion"/>
  </si>
  <si>
    <t>resistance of cytosol</t>
    <phoneticPr fontId="1" type="noConversion"/>
  </si>
  <si>
    <t>resistance of chloroplast envelope</t>
    <phoneticPr fontId="1" type="noConversion"/>
  </si>
  <si>
    <t>resistance of interior stroma</t>
    <phoneticPr fontId="1" type="noConversion"/>
  </si>
  <si>
    <t>Biochemical parameters</t>
    <phoneticPr fontId="1" type="noConversion"/>
  </si>
  <si>
    <t>I~IV</t>
    <phoneticPr fontId="1" type="noConversion"/>
  </si>
  <si>
    <t>Stroma pH</t>
    <phoneticPr fontId="1" type="noConversion"/>
  </si>
  <si>
    <t>[CA] cytosol</t>
    <phoneticPr fontId="1" type="noConversion"/>
  </si>
  <si>
    <t>[CA] stroma</t>
    <phoneticPr fontId="1" type="noConversion"/>
  </si>
  <si>
    <t>Proton concentration</t>
    <phoneticPr fontId="1" type="noConversion"/>
  </si>
  <si>
    <r>
      <t>P</t>
    </r>
    <r>
      <rPr>
        <i/>
        <vertAlign val="subscript"/>
        <sz val="10.5"/>
        <color theme="1"/>
        <rFont val="Times New Roman"/>
        <family val="1"/>
      </rPr>
      <t>CO2</t>
    </r>
    <phoneticPr fontId="1" type="noConversion"/>
  </si>
  <si>
    <r>
      <t>mol m</t>
    </r>
    <r>
      <rPr>
        <vertAlign val="superscript"/>
        <sz val="10.5"/>
        <color theme="1"/>
        <rFont val="Times New Roman"/>
        <family val="1"/>
      </rPr>
      <t>-2</t>
    </r>
    <r>
      <rPr>
        <sz val="10.5"/>
        <color theme="1"/>
        <rFont val="Times New Roman"/>
        <family val="1"/>
      </rPr>
      <t xml:space="preserve"> s</t>
    </r>
    <r>
      <rPr>
        <vertAlign val="superscript"/>
        <sz val="10.5"/>
        <color theme="1"/>
        <rFont val="Times New Roman"/>
        <family val="1"/>
      </rPr>
      <t>-1</t>
    </r>
    <phoneticPr fontId="1" type="noConversion"/>
  </si>
  <si>
    <r>
      <t>mol</t>
    </r>
    <r>
      <rPr>
        <vertAlign val="superscript"/>
        <sz val="10.5"/>
        <color theme="1"/>
        <rFont val="Times New Roman"/>
        <family val="1"/>
      </rPr>
      <t>-1</t>
    </r>
    <r>
      <rPr>
        <sz val="10.5"/>
        <color theme="1"/>
        <rFont val="Times New Roman"/>
        <family val="1"/>
      </rPr>
      <t xml:space="preserve"> m</t>
    </r>
    <r>
      <rPr>
        <vertAlign val="superscript"/>
        <sz val="10.5"/>
        <color theme="1"/>
        <rFont val="Times New Roman"/>
        <family val="1"/>
      </rPr>
      <t>2</t>
    </r>
    <r>
      <rPr>
        <sz val="10.5"/>
        <color theme="1"/>
        <rFont val="Times New Roman"/>
        <family val="1"/>
      </rPr>
      <t xml:space="preserve"> s bar</t>
    </r>
    <phoneticPr fontId="1" type="noConversion"/>
  </si>
  <si>
    <r>
      <t>CO</t>
    </r>
    <r>
      <rPr>
        <vertAlign val="subscript"/>
        <sz val="10.5"/>
        <color rgb="FF00000A"/>
        <rFont val="Times New Roman"/>
        <family val="1"/>
      </rPr>
      <t>2</t>
    </r>
    <r>
      <rPr>
        <sz val="10.5"/>
        <color rgb="FF00000A"/>
        <rFont val="Times New Roman"/>
        <family val="1"/>
      </rPr>
      <t xml:space="preserve"> chloroplast envelope permeability</t>
    </r>
    <phoneticPr fontId="1" type="noConversion"/>
  </si>
  <si>
    <r>
      <t>P</t>
    </r>
    <r>
      <rPr>
        <i/>
        <vertAlign val="subscript"/>
        <sz val="10.5"/>
        <color theme="1"/>
        <rFont val="Times New Roman"/>
        <family val="1"/>
      </rPr>
      <t>CO2, env</t>
    </r>
    <phoneticPr fontId="1" type="noConversion"/>
  </si>
  <si>
    <t>III</t>
    <phoneticPr fontId="1" type="noConversion"/>
  </si>
  <si>
    <t>Total resistance through liquid phrase</t>
    <phoneticPr fontId="1" type="noConversion"/>
  </si>
  <si>
    <t>Biophysical and anatomical parameters</t>
    <phoneticPr fontId="1" type="noConversion"/>
  </si>
  <si>
    <t>mesophyll surface area (one cell)</t>
    <phoneticPr fontId="1" type="noConversion"/>
  </si>
  <si>
    <t>surface area of outer boundary of chloroplast (one cell)</t>
    <phoneticPr fontId="1" type="noConversion"/>
  </si>
  <si>
    <t>surface area of inner boundary of chloroplast (one cell)</t>
    <phoneticPr fontId="1" type="noConversion"/>
  </si>
  <si>
    <t>Vchlo</t>
    <phoneticPr fontId="1" type="noConversion"/>
  </si>
  <si>
    <t>III, IV</t>
    <phoneticPr fontId="1" type="noConversion"/>
  </si>
  <si>
    <t>IV</t>
    <phoneticPr fontId="1" type="noConversion"/>
  </si>
  <si>
    <r>
      <t>A</t>
    </r>
    <r>
      <rPr>
        <i/>
        <vertAlign val="subscript"/>
        <sz val="10.5"/>
        <color theme="1"/>
        <rFont val="Times New Roman"/>
        <family val="1"/>
      </rPr>
      <t>N</t>
    </r>
    <phoneticPr fontId="1" type="noConversion"/>
  </si>
  <si>
    <t>F</t>
    <phoneticPr fontId="1" type="noConversion"/>
  </si>
  <si>
    <r>
      <t>R</t>
    </r>
    <r>
      <rPr>
        <i/>
        <vertAlign val="subscript"/>
        <sz val="10.5"/>
        <color theme="1"/>
        <rFont val="Times New Roman"/>
        <family val="1"/>
      </rPr>
      <t>d</t>
    </r>
    <phoneticPr fontId="1" type="noConversion"/>
  </si>
  <si>
    <t>Prediction of analytical formula</t>
    <phoneticPr fontId="1" type="noConversion"/>
  </si>
  <si>
    <r>
      <t>m</t>
    </r>
    <r>
      <rPr>
        <vertAlign val="superscript"/>
        <sz val="10.5"/>
        <color theme="1"/>
        <rFont val="Times New Roman"/>
        <family val="1"/>
      </rPr>
      <t>2</t>
    </r>
    <phoneticPr fontId="1" type="noConversion"/>
  </si>
  <si>
    <t>Unit conversion</t>
    <phoneticPr fontId="1" type="noConversion"/>
  </si>
  <si>
    <t>rliq</t>
    <phoneticPr fontId="1" type="noConversion"/>
  </si>
  <si>
    <t>Cell wall effective porosity</t>
    <phoneticPr fontId="1" type="noConversion"/>
  </si>
  <si>
    <t>Cell wall thickness</t>
    <phoneticPr fontId="1" type="noConversion"/>
  </si>
  <si>
    <t>m</t>
    <phoneticPr fontId="1" type="noConversion"/>
  </si>
  <si>
    <t>Permeability of CO2 to cell wall</t>
    <phoneticPr fontId="1" type="noConversion"/>
  </si>
  <si>
    <t>dw</t>
    <phoneticPr fontId="1" type="noConversion"/>
  </si>
  <si>
    <t>m</t>
    <phoneticPr fontId="1" type="noConversion"/>
  </si>
  <si>
    <t>I</t>
    <phoneticPr fontId="1" type="noConversion"/>
  </si>
  <si>
    <t>I</t>
    <phoneticPr fontId="1" type="noConversion"/>
  </si>
  <si>
    <r>
      <t>lk</t>
    </r>
    <r>
      <rPr>
        <i/>
        <vertAlign val="subscript"/>
        <sz val="10.5"/>
        <color theme="1"/>
        <rFont val="Times New Roman"/>
        <family val="1"/>
      </rPr>
      <t xml:space="preserve">b </t>
    </r>
    <r>
      <rPr>
        <sz val="10.5"/>
        <color theme="1"/>
        <rFont val="Times New Roman"/>
        <family val="1"/>
      </rPr>
      <t>(**)</t>
    </r>
    <phoneticPr fontId="1" type="noConversion"/>
  </si>
  <si>
    <t>p (*)</t>
    <phoneticPr fontId="1" type="noConversion"/>
  </si>
  <si>
    <t>Ames_ave</t>
    <phoneticPr fontId="1" type="noConversion"/>
  </si>
  <si>
    <t>Ase_i</t>
    <phoneticPr fontId="1" type="noConversion"/>
  </si>
  <si>
    <t>Cell wall thickness</t>
    <phoneticPr fontId="1" type="noConversion"/>
  </si>
  <si>
    <t>dw</t>
    <phoneticPr fontId="1" type="noConversion"/>
  </si>
  <si>
    <t>I</t>
    <phoneticPr fontId="1" type="noConversion"/>
  </si>
  <si>
    <t>II</t>
    <phoneticPr fontId="1" type="noConversion"/>
  </si>
  <si>
    <t>resistance of intercellular air space</t>
    <phoneticPr fontId="1" type="noConversion"/>
  </si>
  <si>
    <t>rias</t>
    <phoneticPr fontId="1" type="noConversion"/>
  </si>
  <si>
    <t>p</t>
    <phoneticPr fontId="1" type="noConversion"/>
  </si>
  <si>
    <t>leaf thickness</t>
    <phoneticPr fontId="1" type="noConversion"/>
  </si>
  <si>
    <t>μm</t>
    <phoneticPr fontId="1" type="noConversion"/>
  </si>
  <si>
    <r>
      <t>2*ΔL</t>
    </r>
    <r>
      <rPr>
        <i/>
        <vertAlign val="subscript"/>
        <sz val="12"/>
        <color theme="1"/>
        <rFont val="Times New Roman"/>
        <family val="1"/>
      </rPr>
      <t>ias</t>
    </r>
    <phoneticPr fontId="1" type="noConversion"/>
  </si>
  <si>
    <t>Hc</t>
    <phoneticPr fontId="1" type="noConversion"/>
  </si>
  <si>
    <t>R</t>
    <phoneticPr fontId="1" type="noConversion"/>
  </si>
  <si>
    <t>T</t>
    <phoneticPr fontId="1" type="noConversion"/>
  </si>
  <si>
    <t>ias</t>
    <phoneticPr fontId="1" type="noConversion"/>
  </si>
  <si>
    <t>K</t>
    <phoneticPr fontId="1" type="noConversion"/>
  </si>
  <si>
    <r>
      <t>aqueous CO</t>
    </r>
    <r>
      <rPr>
        <vertAlign val="subscript"/>
        <sz val="10.5"/>
        <color theme="1"/>
        <rFont val="Times New Roman"/>
        <family val="1"/>
      </rPr>
      <t>2</t>
    </r>
    <r>
      <rPr>
        <sz val="10.5"/>
        <color theme="1"/>
        <rFont val="Times New Roman"/>
        <family val="1"/>
      </rPr>
      <t xml:space="preserve"> diffusion coefficient</t>
    </r>
    <phoneticPr fontId="1" type="noConversion"/>
  </si>
  <si>
    <t>CO2 diffusion coefficient in the air</t>
    <phoneticPr fontId="1" type="noConversion"/>
  </si>
  <si>
    <t>Da</t>
    <phoneticPr fontId="1" type="noConversion"/>
  </si>
  <si>
    <t>total mesophyll resistance</t>
    <phoneticPr fontId="1" type="noConversion"/>
  </si>
  <si>
    <t>rm</t>
    <phoneticPr fontId="1" type="noConversion"/>
  </si>
  <si>
    <r>
      <t>HCO</t>
    </r>
    <r>
      <rPr>
        <vertAlign val="subscript"/>
        <sz val="10.5"/>
        <color theme="1"/>
        <rFont val="Times New Roman"/>
        <family val="1"/>
      </rPr>
      <t>3</t>
    </r>
    <r>
      <rPr>
        <vertAlign val="superscript"/>
        <sz val="10.5"/>
        <color theme="1"/>
        <rFont val="Times New Roman"/>
        <family val="1"/>
      </rPr>
      <t>-</t>
    </r>
    <r>
      <rPr>
        <vertAlign val="subscript"/>
        <sz val="10.5"/>
        <color theme="1"/>
        <rFont val="Times New Roman"/>
        <family val="1"/>
      </rPr>
      <t xml:space="preserve"> </t>
    </r>
    <r>
      <rPr>
        <sz val="10.5"/>
        <color theme="1"/>
        <rFont val="Times New Roman"/>
        <family val="1"/>
      </rPr>
      <t>leakage (per leaf area)</t>
    </r>
    <phoneticPr fontId="1" type="noConversion"/>
  </si>
  <si>
    <r>
      <t>CO2</t>
    </r>
    <r>
      <rPr>
        <sz val="11"/>
        <color theme="1"/>
        <rFont val="宋体"/>
        <family val="3"/>
        <charset val="134"/>
      </rPr>
      <t>↓</t>
    </r>
    <phoneticPr fontId="1" type="noConversion"/>
  </si>
  <si>
    <r>
      <t>(</t>
    </r>
    <r>
      <rPr>
        <sz val="11"/>
        <color theme="1"/>
        <rFont val="Times New Roman"/>
        <family val="1"/>
      </rPr>
      <t>μ</t>
    </r>
    <r>
      <rPr>
        <sz val="11"/>
        <color theme="1"/>
        <rFont val="Calibri"/>
        <family val="2"/>
        <scheme val="minor"/>
      </rPr>
      <t>bar)</t>
    </r>
    <phoneticPr fontId="1" type="noConversion"/>
  </si>
  <si>
    <r>
      <t>light</t>
    </r>
    <r>
      <rPr>
        <sz val="11"/>
        <color theme="1"/>
        <rFont val="宋体"/>
        <family val="3"/>
        <charset val="134"/>
      </rPr>
      <t>→</t>
    </r>
    <phoneticPr fontId="1" type="noConversion"/>
  </si>
  <si>
    <r>
      <t>lkb/AN</t>
    </r>
    <r>
      <rPr>
        <sz val="11"/>
        <color theme="1"/>
        <rFont val="宋体"/>
        <family val="3"/>
        <charset val="134"/>
      </rPr>
      <t>↘</t>
    </r>
    <phoneticPr fontId="1" type="noConversion"/>
  </si>
  <si>
    <r>
      <t xml:space="preserve">Ase_o </t>
    </r>
    <r>
      <rPr>
        <sz val="10.5"/>
        <color theme="1"/>
        <rFont val="Times New Roman"/>
        <family val="1"/>
      </rPr>
      <t>(***)</t>
    </r>
    <phoneticPr fontId="1" type="noConversion"/>
  </si>
  <si>
    <t>Ci</t>
  </si>
  <si>
    <t>Irradiance</t>
  </si>
  <si>
    <t>μm</t>
  </si>
  <si>
    <t>μbar</t>
  </si>
  <si>
    <r>
      <t>μmol m</t>
    </r>
    <r>
      <rPr>
        <vertAlign val="superscript"/>
        <sz val="10.5"/>
        <color theme="1"/>
        <rFont val="Times New Roman"/>
        <family val="1"/>
      </rPr>
      <t>-2</t>
    </r>
    <r>
      <rPr>
        <sz val="10.5"/>
        <color theme="1"/>
        <rFont val="Times New Roman"/>
        <family val="1"/>
      </rPr>
      <t xml:space="preserve"> s</t>
    </r>
    <r>
      <rPr>
        <vertAlign val="superscript"/>
        <sz val="10.5"/>
        <color theme="1"/>
        <rFont val="Times New Roman"/>
        <family val="1"/>
      </rPr>
      <t>-1</t>
    </r>
  </si>
  <si>
    <t>Henry's constant</t>
  </si>
  <si>
    <r>
      <t>mol</t>
    </r>
    <r>
      <rPr>
        <vertAlign val="superscript"/>
        <sz val="10.5"/>
        <color theme="1"/>
        <rFont val="Times New Roman"/>
        <family val="1"/>
      </rPr>
      <t>-1</t>
    </r>
    <r>
      <rPr>
        <sz val="10.5"/>
        <color theme="1"/>
        <rFont val="Times New Roman"/>
        <family val="1"/>
      </rPr>
      <t xml:space="preserve"> m</t>
    </r>
    <r>
      <rPr>
        <vertAlign val="superscript"/>
        <sz val="10.5"/>
        <color theme="1"/>
        <rFont val="Times New Roman"/>
        <family val="1"/>
      </rPr>
      <t>3</t>
    </r>
    <r>
      <rPr>
        <sz val="10.5"/>
        <color theme="1"/>
        <rFont val="Times New Roman"/>
        <family val="1"/>
      </rPr>
      <t xml:space="preserve"> Pa</t>
    </r>
  </si>
  <si>
    <r>
      <t>Pa m</t>
    </r>
    <r>
      <rPr>
        <vertAlign val="superscript"/>
        <sz val="10.5"/>
        <color theme="1"/>
        <rFont val="Times New Roman"/>
        <family val="1"/>
      </rPr>
      <t>3</t>
    </r>
    <r>
      <rPr>
        <sz val="10.5"/>
        <color theme="1"/>
        <rFont val="Times New Roman"/>
        <family val="1"/>
      </rPr>
      <t xml:space="preserve"> mol</t>
    </r>
    <r>
      <rPr>
        <vertAlign val="superscript"/>
        <sz val="10.5"/>
        <color theme="1"/>
        <rFont val="Times New Roman"/>
        <family val="1"/>
      </rPr>
      <t>-1</t>
    </r>
    <r>
      <rPr>
        <sz val="10.5"/>
        <color theme="1"/>
        <rFont val="Times New Roman"/>
        <family val="1"/>
      </rPr>
      <t xml:space="preserve"> K</t>
    </r>
    <r>
      <rPr>
        <vertAlign val="superscript"/>
        <sz val="10.5"/>
        <color theme="1"/>
        <rFont val="Times New Roman"/>
        <family val="1"/>
      </rPr>
      <t>-1</t>
    </r>
  </si>
  <si>
    <t>gas constant</t>
  </si>
  <si>
    <t>absolute temperature</t>
  </si>
  <si>
    <t>chloroplast surface area per leaf area</t>
  </si>
  <si>
    <t>porosity of intercellular air space (IAS)</t>
  </si>
  <si>
    <t>chloroplast surface area exposed to IAS per leaf area</t>
  </si>
  <si>
    <t>mesophyll surface area exposed to IAS per leaf area</t>
  </si>
  <si>
    <t>Sm</t>
  </si>
  <si>
    <t>Sc</t>
  </si>
  <si>
    <r>
      <t>A</t>
    </r>
    <r>
      <rPr>
        <i/>
        <vertAlign val="subscript"/>
        <sz val="10.5"/>
        <color theme="1"/>
        <rFont val="Times New Roman"/>
        <family val="1"/>
      </rPr>
      <t>chlo</t>
    </r>
    <r>
      <rPr>
        <i/>
        <sz val="10.5"/>
        <color theme="1"/>
        <rFont val="Times New Roman"/>
        <family val="1"/>
      </rPr>
      <t>/A</t>
    </r>
    <r>
      <rPr>
        <i/>
        <vertAlign val="subscript"/>
        <sz val="10.5"/>
        <color theme="1"/>
        <rFont val="Times New Roman"/>
        <family val="1"/>
      </rPr>
      <t>leaf</t>
    </r>
  </si>
  <si>
    <r>
      <t>m</t>
    </r>
    <r>
      <rPr>
        <vertAlign val="superscript"/>
        <sz val="10.5"/>
        <color theme="1"/>
        <rFont val="Times New Roman"/>
        <family val="1"/>
      </rPr>
      <t>2</t>
    </r>
  </si>
  <si>
    <r>
      <t>m</t>
    </r>
    <r>
      <rPr>
        <vertAlign val="superscript"/>
        <sz val="10.5"/>
        <color theme="1"/>
        <rFont val="Times New Roman"/>
        <family val="1"/>
      </rPr>
      <t>2</t>
    </r>
    <r>
      <rPr>
        <sz val="10.5"/>
        <color theme="1"/>
        <rFont val="Times New Roman"/>
        <family val="1"/>
      </rPr>
      <t>m</t>
    </r>
    <r>
      <rPr>
        <vertAlign val="superscript"/>
        <sz val="10.5"/>
        <color theme="1"/>
        <rFont val="Times New Roman"/>
        <family val="1"/>
      </rPr>
      <t>-2</t>
    </r>
  </si>
  <si>
    <t>volume of chloroplasts per leaf area</t>
    <phoneticPr fontId="1" type="noConversion"/>
  </si>
  <si>
    <r>
      <t>m</t>
    </r>
    <r>
      <rPr>
        <vertAlign val="superscript"/>
        <sz val="10.5"/>
        <color theme="1"/>
        <rFont val="Times New Roman"/>
        <family val="1"/>
      </rPr>
      <t>3</t>
    </r>
    <r>
      <rPr>
        <sz val="10.5"/>
        <color theme="1"/>
        <rFont val="Times New Roman"/>
        <family val="1"/>
      </rPr>
      <t>m</t>
    </r>
    <r>
      <rPr>
        <vertAlign val="superscript"/>
        <sz val="10.5"/>
        <color theme="1"/>
        <rFont val="Times New Roman"/>
        <family val="1"/>
      </rPr>
      <t>-2</t>
    </r>
    <phoneticPr fontId="1" type="noConversion"/>
  </si>
  <si>
    <t>II, III, IV</t>
    <phoneticPr fontId="1" type="noConversion"/>
  </si>
  <si>
    <t>II,III</t>
    <phoneticPr fontId="1" type="noConversion"/>
  </si>
  <si>
    <t>Dc_cyto</t>
  </si>
  <si>
    <t>Db_cyto</t>
  </si>
  <si>
    <t>H</t>
    <phoneticPr fontId="1" type="noConversion"/>
  </si>
  <si>
    <t>sb</t>
    <phoneticPr fontId="1" type="noConversion"/>
  </si>
  <si>
    <t>an</t>
    <phoneticPr fontId="1" type="noConversion"/>
  </si>
  <si>
    <t>lk</t>
    <phoneticPr fontId="1" type="noConversion"/>
  </si>
  <si>
    <t>tmp_D</t>
    <phoneticPr fontId="1" type="noConversion"/>
  </si>
  <si>
    <t>Rcyto</t>
    <phoneticPr fontId="1" type="noConversion"/>
  </si>
  <si>
    <t>code line by line in macros</t>
    <phoneticPr fontId="1" type="noConversion"/>
  </si>
  <si>
    <t>Function Rwall</t>
    <phoneticPr fontId="1" type="noConversion"/>
  </si>
  <si>
    <t>Function Rcyto</t>
    <phoneticPr fontId="1" type="noConversion"/>
  </si>
  <si>
    <t>fres</t>
    <phoneticPr fontId="1" type="noConversion"/>
  </si>
  <si>
    <t>res</t>
    <phoneticPr fontId="1" type="noConversion"/>
  </si>
  <si>
    <t>an1</t>
    <phoneticPr fontId="1" type="noConversion"/>
  </si>
  <si>
    <t>fx</t>
    <phoneticPr fontId="1" type="noConversion"/>
  </si>
  <si>
    <t>Renve</t>
    <phoneticPr fontId="1" type="noConversion"/>
  </si>
  <si>
    <t>line2-3</t>
    <phoneticPr fontId="1" type="noConversion"/>
  </si>
  <si>
    <t>line7</t>
    <phoneticPr fontId="1" type="noConversion"/>
  </si>
  <si>
    <t>line8</t>
    <phoneticPr fontId="1" type="noConversion"/>
  </si>
  <si>
    <t>line9</t>
    <phoneticPr fontId="1" type="noConversion"/>
  </si>
  <si>
    <t>line10</t>
    <phoneticPr fontId="1" type="noConversion"/>
  </si>
  <si>
    <t>line11</t>
    <phoneticPr fontId="1" type="noConversion"/>
  </si>
  <si>
    <t>line12</t>
    <phoneticPr fontId="1" type="noConversion"/>
  </si>
  <si>
    <t>line13</t>
    <phoneticPr fontId="1" type="noConversion"/>
  </si>
  <si>
    <t>line14</t>
    <phoneticPr fontId="1" type="noConversion"/>
  </si>
  <si>
    <t>line15</t>
    <phoneticPr fontId="1" type="noConversion"/>
  </si>
  <si>
    <t>line20</t>
    <phoneticPr fontId="1" type="noConversion"/>
  </si>
  <si>
    <t>line21</t>
    <phoneticPr fontId="1" type="noConversion"/>
  </si>
  <si>
    <t>line22</t>
    <phoneticPr fontId="1" type="noConversion"/>
  </si>
  <si>
    <t>line23</t>
    <phoneticPr fontId="1" type="noConversion"/>
  </si>
  <si>
    <t>line25</t>
    <phoneticPr fontId="1" type="noConversion"/>
  </si>
  <si>
    <t>line26</t>
    <phoneticPr fontId="1" type="noConversion"/>
  </si>
  <si>
    <t>line27</t>
    <phoneticPr fontId="1" type="noConversion"/>
  </si>
  <si>
    <t>line29</t>
    <phoneticPr fontId="1" type="noConversion"/>
  </si>
  <si>
    <t>line30</t>
    <phoneticPr fontId="1" type="noConversion"/>
  </si>
  <si>
    <t>line31</t>
    <phoneticPr fontId="1" type="noConversion"/>
  </si>
  <si>
    <t>Function Renve</t>
    <phoneticPr fontId="1" type="noConversion"/>
  </si>
  <si>
    <t>Dc_chlo</t>
    <phoneticPr fontId="1" type="noConversion"/>
  </si>
  <si>
    <t>Db_chlo</t>
    <phoneticPr fontId="1" type="noConversion"/>
  </si>
  <si>
    <t>H</t>
    <phoneticPr fontId="1" type="noConversion"/>
  </si>
  <si>
    <t>beta</t>
    <phoneticPr fontId="1" type="noConversion"/>
  </si>
  <si>
    <t>v</t>
    <phoneticPr fontId="1" type="noConversion"/>
  </si>
  <si>
    <t>fy</t>
    <phoneticPr fontId="1" type="noConversion"/>
  </si>
  <si>
    <t>r_t1</t>
    <phoneticPr fontId="1" type="noConversion"/>
  </si>
  <si>
    <t>r_t2</t>
    <phoneticPr fontId="1" type="noConversion"/>
  </si>
  <si>
    <t>r_t3</t>
    <phoneticPr fontId="1" type="noConversion"/>
  </si>
  <si>
    <t>r_t4</t>
    <phoneticPr fontId="1" type="noConversion"/>
  </si>
  <si>
    <t>r_t5</t>
    <phoneticPr fontId="1" type="noConversion"/>
  </si>
  <si>
    <t>r4_s1</t>
    <phoneticPr fontId="1" type="noConversion"/>
  </si>
  <si>
    <t>line35</t>
    <phoneticPr fontId="1" type="noConversion"/>
  </si>
  <si>
    <t>line36</t>
    <phoneticPr fontId="1" type="noConversion"/>
  </si>
  <si>
    <t>line37</t>
    <phoneticPr fontId="1" type="noConversion"/>
  </si>
  <si>
    <t>line38</t>
    <phoneticPr fontId="1" type="noConversion"/>
  </si>
  <si>
    <t>line40</t>
    <phoneticPr fontId="1" type="noConversion"/>
  </si>
  <si>
    <t>line41</t>
    <phoneticPr fontId="1" type="noConversion"/>
  </si>
  <si>
    <t>line42</t>
    <phoneticPr fontId="1" type="noConversion"/>
  </si>
  <si>
    <t>line43</t>
    <phoneticPr fontId="1" type="noConversion"/>
  </si>
  <si>
    <t>line44</t>
    <phoneticPr fontId="1" type="noConversion"/>
  </si>
  <si>
    <t>line46</t>
    <phoneticPr fontId="1" type="noConversion"/>
  </si>
  <si>
    <t>line47</t>
    <phoneticPr fontId="1" type="noConversion"/>
  </si>
  <si>
    <t>line48</t>
    <phoneticPr fontId="1" type="noConversion"/>
  </si>
  <si>
    <t>line51</t>
    <phoneticPr fontId="1" type="noConversion"/>
  </si>
  <si>
    <t>line53</t>
    <phoneticPr fontId="1" type="noConversion"/>
  </si>
  <si>
    <t>line55</t>
    <phoneticPr fontId="1" type="noConversion"/>
  </si>
  <si>
    <t>line57</t>
    <phoneticPr fontId="1" type="noConversion"/>
  </si>
  <si>
    <t>line59</t>
    <phoneticPr fontId="1" type="noConversion"/>
  </si>
  <si>
    <t>line62</t>
    <phoneticPr fontId="1" type="noConversion"/>
  </si>
  <si>
    <t>line63</t>
    <phoneticPr fontId="1" type="noConversion"/>
  </si>
  <si>
    <t>Function Rstro</t>
    <phoneticPr fontId="1" type="noConversion"/>
  </si>
  <si>
    <t>rwall,i.e. rI_wall</t>
    <phoneticPr fontId="1" type="noConversion"/>
  </si>
  <si>
    <t>Rcyto,i.e. rII_cyto</t>
    <phoneticPr fontId="1" type="noConversion"/>
  </si>
  <si>
    <t>Renve,i.e. rIII_se</t>
    <phoneticPr fontId="1" type="noConversion"/>
  </si>
  <si>
    <t>Rstro,i.e. rIV_chlo</t>
    <phoneticPr fontId="1" type="noConversion"/>
  </si>
  <si>
    <t>rliq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</si>
</sst>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 "/>
    <numFmt numFmtId="165" formatCode="0.0000_);[Red]\(0.0000\)"/>
    <numFmt numFmtId="166" formatCode="0.0000_ "/>
  </numFmts>
  <fonts count="19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i/>
      <sz val="10.5"/>
      <color theme="1"/>
      <name val="Times New Roman"/>
      <family val="1"/>
    </font>
    <font>
      <i/>
      <vertAlign val="subscript"/>
      <sz val="10.5"/>
      <color theme="1"/>
      <name val="Times New Roman"/>
      <family val="1"/>
    </font>
    <font>
      <sz val="10.5"/>
      <color theme="1"/>
      <name val="Times New Roman"/>
      <family val="1"/>
    </font>
    <font>
      <sz val="10.5"/>
      <color rgb="FF00000A"/>
      <name val="Times New Roman"/>
      <family val="1"/>
    </font>
    <font>
      <vertAlign val="subscript"/>
      <sz val="10.5"/>
      <color rgb="FF00000A"/>
      <name val="Times New Roman"/>
      <family val="1"/>
    </font>
    <font>
      <vertAlign val="superscript"/>
      <sz val="10.5"/>
      <color theme="1"/>
      <name val="Times New Roman"/>
      <family val="1"/>
    </font>
    <font>
      <vertAlign val="subscript"/>
      <sz val="10.5"/>
      <color theme="1"/>
      <name val="Times New Roman"/>
      <family val="1"/>
    </font>
    <font>
      <sz val="11"/>
      <color theme="1"/>
      <name val="Times New Roman"/>
      <family val="1"/>
    </font>
    <font>
      <i/>
      <vertAlign val="subscript"/>
      <sz val="12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b/>
      <i/>
      <sz val="10.5"/>
      <color theme="1"/>
      <name val="Times New Roman"/>
      <family val="1"/>
    </font>
    <font>
      <sz val="10.5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justify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11" fontId="4" fillId="3" borderId="1" xfId="0" applyNumberFormat="1" applyFont="1" applyFill="1" applyBorder="1" applyAlignment="1">
      <alignment horizontal="center" vertical="center" wrapText="1"/>
    </xf>
    <xf numFmtId="11" fontId="4" fillId="3" borderId="5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1" fontId="4" fillId="4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11" fontId="4" fillId="5" borderId="1" xfId="0" applyNumberFormat="1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1" fontId="4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justify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11" fontId="0" fillId="0" borderId="0" xfId="0" applyNumberFormat="1"/>
    <xf numFmtId="0" fontId="4" fillId="6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166" fontId="4" fillId="2" borderId="1" xfId="0" applyNumberFormat="1" applyFont="1" applyFill="1" applyBorder="1" applyAlignment="1">
      <alignment horizontal="center" vertical="center" wrapText="1"/>
    </xf>
    <xf numFmtId="11" fontId="4" fillId="5" borderId="0" xfId="0" applyNumberFormat="1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0" fillId="5" borderId="0" xfId="0" applyFill="1"/>
    <xf numFmtId="0" fontId="4" fillId="6" borderId="0" xfId="0" applyFont="1" applyFill="1" applyBorder="1" applyAlignment="1">
      <alignment horizontal="center" vertical="center" wrapText="1"/>
    </xf>
    <xf numFmtId="0" fontId="0" fillId="6" borderId="0" xfId="0" applyFill="1"/>
    <xf numFmtId="0" fontId="15" fillId="3" borderId="0" xfId="0" applyFont="1" applyFill="1" applyBorder="1" applyAlignment="1">
      <alignment horizontal="center" vertical="center" wrapText="1"/>
    </xf>
    <xf numFmtId="11" fontId="15" fillId="3" borderId="0" xfId="0" applyNumberFormat="1" applyFont="1" applyFill="1" applyBorder="1" applyAlignment="1">
      <alignment horizontal="center" vertical="center" wrapText="1"/>
    </xf>
    <xf numFmtId="11" fontId="15" fillId="3" borderId="10" xfId="0" applyNumberFormat="1" applyFont="1" applyFill="1" applyBorder="1" applyAlignment="1">
      <alignment horizontal="center" vertical="center" wrapText="1"/>
    </xf>
    <xf numFmtId="0" fontId="16" fillId="3" borderId="0" xfId="0" applyFont="1" applyFill="1"/>
    <xf numFmtId="0" fontId="17" fillId="3" borderId="0" xfId="0" applyFont="1" applyFill="1"/>
    <xf numFmtId="0" fontId="15" fillId="6" borderId="0" xfId="0" applyFont="1" applyFill="1" applyBorder="1" applyAlignment="1">
      <alignment horizontal="center" vertical="center" wrapText="1"/>
    </xf>
    <xf numFmtId="11" fontId="15" fillId="6" borderId="0" xfId="0" applyNumberFormat="1" applyFont="1" applyFill="1" applyBorder="1" applyAlignment="1">
      <alignment horizontal="center" vertical="center" wrapText="1"/>
    </xf>
    <xf numFmtId="0" fontId="16" fillId="6" borderId="0" xfId="0" applyFont="1" applyFill="1"/>
    <xf numFmtId="0" fontId="17" fillId="6" borderId="0" xfId="0" applyFont="1" applyFill="1"/>
    <xf numFmtId="0" fontId="13" fillId="6" borderId="1" xfId="0" applyFont="1" applyFill="1" applyBorder="1" applyAlignment="1">
      <alignment horizontal="center" vertical="center" wrapText="1"/>
    </xf>
    <xf numFmtId="11" fontId="4" fillId="6" borderId="0" xfId="0" applyNumberFormat="1" applyFont="1" applyFill="1" applyBorder="1" applyAlignment="1">
      <alignment horizontal="center" vertical="center" wrapText="1"/>
    </xf>
    <xf numFmtId="11" fontId="4" fillId="4" borderId="0" xfId="0" applyNumberFormat="1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4" fillId="4" borderId="0" xfId="0" applyFont="1" applyFill="1" applyBorder="1" applyAlignment="1">
      <alignment horizontal="justify" vertical="center" wrapText="1"/>
    </xf>
    <xf numFmtId="0" fontId="9" fillId="0" borderId="1" xfId="0" applyFont="1" applyBorder="1"/>
    <xf numFmtId="0" fontId="9" fillId="0" borderId="1" xfId="0" applyFont="1" applyBorder="1" applyAlignment="1"/>
    <xf numFmtId="0" fontId="0" fillId="0" borderId="1" xfId="0" applyBorder="1"/>
    <xf numFmtId="0" fontId="4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11" fontId="4" fillId="7" borderId="1" xfId="0" applyNumberFormat="1" applyFont="1" applyFill="1" applyBorder="1" applyAlignment="1">
      <alignment horizontal="center" vertical="center" wrapText="1"/>
    </xf>
    <xf numFmtId="164" fontId="4" fillId="7" borderId="0" xfId="0" applyNumberFormat="1" applyFont="1" applyFill="1" applyBorder="1" applyAlignment="1">
      <alignment horizontal="center" vertical="center" wrapText="1"/>
    </xf>
    <xf numFmtId="11" fontId="4" fillId="7" borderId="0" xfId="0" applyNumberFormat="1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0" fillId="7" borderId="0" xfId="0" applyFill="1"/>
    <xf numFmtId="0" fontId="18" fillId="0" borderId="1" xfId="0" applyFont="1" applyBorder="1"/>
    <xf numFmtId="0" fontId="18" fillId="0" borderId="0" xfId="0" applyFont="1"/>
    <xf numFmtId="0" fontId="9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14" xfId="0" applyFont="1" applyBorder="1"/>
    <xf numFmtId="0" fontId="4" fillId="0" borderId="15" xfId="0" applyFont="1" applyBorder="1"/>
    <xf numFmtId="0" fontId="4" fillId="0" borderId="17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1" fontId="4" fillId="0" borderId="17" xfId="0" applyNumberFormat="1" applyFont="1" applyBorder="1" applyAlignment="1">
      <alignment horizontal="center"/>
    </xf>
    <xf numFmtId="11" fontId="4" fillId="0" borderId="0" xfId="0" applyNumberFormat="1" applyFont="1" applyBorder="1" applyAlignment="1">
      <alignment horizontal="center"/>
    </xf>
    <xf numFmtId="11" fontId="4" fillId="0" borderId="19" xfId="0" applyNumberFormat="1" applyFont="1" applyBorder="1" applyAlignment="1">
      <alignment horizontal="center"/>
    </xf>
    <xf numFmtId="11" fontId="4" fillId="0" borderId="20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4" xfId="0" applyFont="1" applyFill="1" applyBorder="1"/>
    <xf numFmtId="0" fontId="4" fillId="0" borderId="15" xfId="0" applyFont="1" applyFill="1" applyBorder="1"/>
    <xf numFmtId="0" fontId="4" fillId="0" borderId="19" xfId="0" applyFont="1" applyBorder="1" applyAlignment="1">
      <alignment horizont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/>
    </xf>
    <xf numFmtId="11" fontId="4" fillId="2" borderId="12" xfId="0" applyNumberFormat="1" applyFont="1" applyFill="1" applyBorder="1" applyAlignment="1">
      <alignment horizontal="center"/>
    </xf>
    <xf numFmtId="11" fontId="4" fillId="2" borderId="13" xfId="0" applyNumberFormat="1" applyFont="1" applyFill="1" applyBorder="1" applyAlignment="1">
      <alignment horizontal="center"/>
    </xf>
    <xf numFmtId="0" fontId="4" fillId="2" borderId="16" xfId="0" applyFont="1" applyFill="1" applyBorder="1"/>
    <xf numFmtId="0" fontId="4" fillId="2" borderId="18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4" fillId="2" borderId="11" xfId="0" applyFont="1" applyFill="1" applyBorder="1"/>
    <xf numFmtId="0" fontId="0" fillId="2" borderId="12" xfId="0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13" fillId="3" borderId="2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13" fillId="4" borderId="2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EB8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73660</xdr:colOff>
      <xdr:row>21</xdr:row>
      <xdr:rowOff>139065</xdr:rowOff>
    </xdr:from>
    <xdr:to>
      <xdr:col>13</xdr:col>
      <xdr:colOff>508000</xdr:colOff>
      <xdr:row>34</xdr:row>
      <xdr:rowOff>147955</xdr:rowOff>
    </xdr:to>
    <xdr:sp macro="" textlink="">
      <xdr:nvSpPr>
        <xdr:cNvPr id="36" name="文本框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73660" y="5634990"/>
          <a:ext cx="7301865" cy="2361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Remarks:</a:t>
          </a:r>
        </a:p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- (*) porosity of cell wall may vary in different species</a:t>
          </a:r>
        </a:p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- (**) unit of lkb is leaf area-based, which is calculated from 3D model under simulation conditions</a:t>
          </a:r>
        </a:p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- (***) Ase_o and Ase_i are used to calculate the flux acrross the adaxial and abaxial side of chloroplast.</a:t>
          </a:r>
          <a:r>
            <a:rPr lang="en-US" altLang="zh-C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For a leaf with a relative low chloroplast coverage, Ase and Asei can be assigned as half of the area of chloroplast surface. But please</a:t>
          </a:r>
          <a:r>
            <a:rPr lang="en-US" altLang="zh-C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notice the accuracy of this formula then is not verified.</a:t>
          </a:r>
        </a:p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- There are hidden rows in this worksheet for unit convertion and physical constants.</a:t>
          </a:r>
        </a:p>
        <a:p>
          <a:r>
            <a:rPr lang="en-US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- Formulas of resistance components are coded in macros.</a:t>
          </a:r>
        </a:p>
        <a:p>
          <a:endParaRPr lang="en-GB" altLang="zh-CN" sz="11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GB" altLang="zh-CN" sz="1100">
              <a:latin typeface="Times New Roman" panose="02020603050405020304" pitchFamily="18" charset="0"/>
              <a:cs typeface="Times New Roman" panose="02020603050405020304" pitchFamily="18" charset="0"/>
            </a:rPr>
            <a:t>Reference: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Y. Xiao &amp; X.G. Zhu (2017) Components of Mesophyll Resistance and Their Environmental Responses: A theoretical modeling analysis. Plant, Cell &amp; Environment</a:t>
          </a:r>
          <a:endParaRPr lang="zh-CN" altLang="zh-CN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zh-CN" alt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14</xdr:col>
      <xdr:colOff>97971</xdr:colOff>
      <xdr:row>22</xdr:row>
      <xdr:rowOff>13473</xdr:rowOff>
    </xdr:from>
    <xdr:to>
      <xdr:col>21</xdr:col>
      <xdr:colOff>296965</xdr:colOff>
      <xdr:row>34</xdr:row>
      <xdr:rowOff>11617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76457" y="5750244"/>
          <a:ext cx="3290537" cy="2218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297180</xdr:colOff>
      <xdr:row>16</xdr:row>
      <xdr:rowOff>121920</xdr:rowOff>
    </xdr:from>
    <xdr:to>
      <xdr:col>4</xdr:col>
      <xdr:colOff>379476</xdr:colOff>
      <xdr:row>27</xdr:row>
      <xdr:rowOff>91440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" y="3048000"/>
          <a:ext cx="2520696" cy="1981200"/>
        </a:xfrm>
        <a:prstGeom prst="rect">
          <a:avLst/>
        </a:prstGeom>
      </xdr:spPr>
    </xdr:pic>
    <xdr:clientData/>
  </xdr:twoCellAnchor>
  <xdr:twoCellAnchor>
    <xdr:from>
      <xdr:col>5</xdr:col>
      <xdr:colOff>198120</xdr:colOff>
      <xdr:row>17</xdr:row>
      <xdr:rowOff>30480</xdr:rowOff>
    </xdr:from>
    <xdr:to>
      <xdr:col>10</xdr:col>
      <xdr:colOff>464820</xdr:colOff>
      <xdr:row>24</xdr:row>
      <xdr:rowOff>53340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246120" y="3139440"/>
          <a:ext cx="3314700" cy="1303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lkb:</a:t>
          </a:r>
          <a:r>
            <a:rPr lang="en-US" altLang="zh-CN" sz="1100" baseline="0"/>
            <a:t> leakage rate of HCO3- from chloroplast to cytosol per leaf area</a:t>
          </a:r>
        </a:p>
        <a:p>
          <a:r>
            <a:rPr lang="en-US" altLang="zh-CN" sz="1100" baseline="0"/>
            <a:t>A</a:t>
          </a:r>
          <a:r>
            <a:rPr lang="en-US" altLang="zh-CN" sz="1100" baseline="-25000"/>
            <a:t>N</a:t>
          </a:r>
          <a:r>
            <a:rPr lang="en-US" altLang="zh-CN" sz="1100" baseline="0"/>
            <a:t>: net photosynthesis rate per leaf area</a:t>
          </a:r>
        </a:p>
        <a:p>
          <a:endParaRPr lang="en-US" altLang="zh-CN" sz="1100" baseline="0"/>
        </a:p>
        <a:p>
          <a:r>
            <a:rPr lang="en-US" altLang="zh-CN" sz="1100" baseline="0"/>
            <a:t>This is simulated by the 3D leaf model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48"/>
  <sheetViews>
    <sheetView tabSelected="1" zoomScale="80" zoomScaleNormal="80" workbookViewId="0">
      <selection activeCell="AV21" sqref="AV21"/>
    </sheetView>
  </sheetViews>
  <sheetFormatPr defaultRowHeight="14.4"/>
  <cols>
    <col min="2" max="2" width="11.21875" bestFit="1" customWidth="1"/>
    <col min="7" max="7" width="8.77734375" hidden="1" customWidth="1"/>
    <col min="8" max="8" width="9.44140625" hidden="1" customWidth="1"/>
    <col min="17" max="17" width="8.77734375" hidden="1" customWidth="1"/>
    <col min="18" max="18" width="9.44140625" bestFit="1" customWidth="1"/>
    <col min="19" max="19" width="8.77734375" hidden="1" customWidth="1"/>
    <col min="24" max="24" width="9.44140625" bestFit="1" customWidth="1"/>
    <col min="26" max="26" width="10.5546875" customWidth="1"/>
    <col min="28" max="28" width="11.21875" customWidth="1"/>
    <col min="29" max="29" width="9.77734375" customWidth="1"/>
    <col min="30" max="30" width="10.5546875" customWidth="1"/>
    <col min="39" max="39" width="10" customWidth="1"/>
    <col min="40" max="40" width="9.44140625" customWidth="1"/>
    <col min="41" max="41" width="9.33203125" customWidth="1"/>
    <col min="42" max="42" width="11.88671875" customWidth="1"/>
    <col min="46" max="46" width="9.33203125" customWidth="1"/>
    <col min="47" max="47" width="9.77734375" bestFit="1" customWidth="1"/>
    <col min="49" max="49" width="11.5546875" bestFit="1" customWidth="1"/>
    <col min="52" max="52" width="10.77734375" bestFit="1" customWidth="1"/>
    <col min="54" max="55" width="10.77734375" bestFit="1" customWidth="1"/>
    <col min="56" max="56" width="13.109375" bestFit="1" customWidth="1"/>
    <col min="57" max="57" width="11.6640625" bestFit="1" customWidth="1"/>
    <col min="58" max="59" width="13.109375" bestFit="1" customWidth="1"/>
    <col min="61" max="61" width="9.44140625" bestFit="1" customWidth="1"/>
    <col min="64" max="64" width="13.109375" bestFit="1" customWidth="1"/>
    <col min="67" max="67" width="13.109375" bestFit="1" customWidth="1"/>
    <col min="68" max="68" width="10.6640625" bestFit="1" customWidth="1"/>
    <col min="70" max="70" width="9.21875" bestFit="1" customWidth="1"/>
    <col min="71" max="72" width="10.6640625" bestFit="1" customWidth="1"/>
    <col min="79" max="79" width="9.44140625" bestFit="1" customWidth="1"/>
    <col min="81" max="81" width="11.6640625" bestFit="1" customWidth="1"/>
    <col min="82" max="82" width="9.44140625" bestFit="1" customWidth="1"/>
    <col min="84" max="84" width="13.109375" bestFit="1" customWidth="1"/>
    <col min="86" max="86" width="13.109375" bestFit="1" customWidth="1"/>
    <col min="87" max="87" width="9.44140625" bestFit="1" customWidth="1"/>
    <col min="88" max="88" width="9.6640625" bestFit="1" customWidth="1"/>
    <col min="90" max="91" width="13.109375" bestFit="1" customWidth="1"/>
    <col min="92" max="92" width="10.109375" bestFit="1" customWidth="1"/>
    <col min="95" max="95" width="10.5546875" bestFit="1" customWidth="1"/>
  </cols>
  <sheetData>
    <row r="1" spans="1:95" ht="16.8" customHeight="1">
      <c r="A1" s="26"/>
      <c r="B1" s="7"/>
      <c r="C1" s="7"/>
      <c r="D1" s="98" t="s">
        <v>69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100"/>
      <c r="T1" s="103" t="s">
        <v>56</v>
      </c>
      <c r="U1" s="104"/>
      <c r="V1" s="104"/>
      <c r="W1" s="104"/>
      <c r="X1" s="104"/>
      <c r="Y1" s="104"/>
      <c r="Z1" s="104"/>
      <c r="AA1" s="104"/>
      <c r="AB1" s="3"/>
      <c r="AC1" s="3"/>
      <c r="AD1" s="3"/>
      <c r="AE1" s="105" t="s">
        <v>40</v>
      </c>
      <c r="AF1" s="106"/>
      <c r="AG1" s="106"/>
      <c r="AH1" s="106"/>
      <c r="AI1" s="106"/>
      <c r="AJ1" s="107" t="s">
        <v>81</v>
      </c>
      <c r="AK1" s="108"/>
      <c r="AL1" s="108"/>
      <c r="AM1" s="108"/>
      <c r="AN1" s="108"/>
      <c r="AO1" s="108"/>
      <c r="AP1" s="109"/>
      <c r="AQ1" s="5"/>
      <c r="AR1" s="101" t="s">
        <v>79</v>
      </c>
      <c r="AS1" s="102"/>
      <c r="AT1" s="102"/>
      <c r="AU1" s="102"/>
      <c r="AV1" s="102"/>
      <c r="AW1" s="102"/>
      <c r="AX1" s="102"/>
      <c r="AZ1" t="s">
        <v>152</v>
      </c>
    </row>
    <row r="2" spans="1:95" s="1" customFormat="1" ht="111" thickBot="1">
      <c r="A2" s="27" t="s">
        <v>15</v>
      </c>
      <c r="B2" s="6" t="s">
        <v>121</v>
      </c>
      <c r="C2" s="6" t="s">
        <v>122</v>
      </c>
      <c r="D2" s="8" t="s">
        <v>102</v>
      </c>
      <c r="E2" s="8" t="s">
        <v>132</v>
      </c>
      <c r="F2" s="8" t="s">
        <v>95</v>
      </c>
      <c r="G2" s="22" t="s">
        <v>84</v>
      </c>
      <c r="H2" s="25" t="s">
        <v>86</v>
      </c>
      <c r="I2" s="10" t="s">
        <v>65</v>
      </c>
      <c r="J2" s="10" t="s">
        <v>111</v>
      </c>
      <c r="K2" s="8" t="s">
        <v>110</v>
      </c>
      <c r="L2" s="8" t="s">
        <v>24</v>
      </c>
      <c r="M2" s="8" t="s">
        <v>83</v>
      </c>
      <c r="N2" s="8" t="s">
        <v>25</v>
      </c>
      <c r="O2" s="8" t="s">
        <v>28</v>
      </c>
      <c r="P2" s="8" t="s">
        <v>30</v>
      </c>
      <c r="Q2" s="22" t="s">
        <v>30</v>
      </c>
      <c r="R2" s="8" t="s">
        <v>32</v>
      </c>
      <c r="S2" s="22" t="s">
        <v>32</v>
      </c>
      <c r="T2" s="14" t="s">
        <v>33</v>
      </c>
      <c r="U2" s="14" t="s">
        <v>59</v>
      </c>
      <c r="V2" s="14" t="s">
        <v>60</v>
      </c>
      <c r="W2" s="14" t="s">
        <v>61</v>
      </c>
      <c r="X2" s="14" t="s">
        <v>37</v>
      </c>
      <c r="Y2" s="14" t="s">
        <v>58</v>
      </c>
      <c r="Z2" s="14" t="s">
        <v>38</v>
      </c>
      <c r="AA2" s="14" t="s">
        <v>39</v>
      </c>
      <c r="AB2" s="22" t="s">
        <v>126</v>
      </c>
      <c r="AC2" s="22" t="s">
        <v>129</v>
      </c>
      <c r="AD2" s="22" t="s">
        <v>130</v>
      </c>
      <c r="AE2" s="17" t="s">
        <v>41</v>
      </c>
      <c r="AF2" s="17" t="s">
        <v>115</v>
      </c>
      <c r="AG2" s="17" t="s">
        <v>44</v>
      </c>
      <c r="AH2" s="17" t="s">
        <v>46</v>
      </c>
      <c r="AI2" s="17" t="s">
        <v>47</v>
      </c>
      <c r="AJ2" s="60" t="s">
        <v>134</v>
      </c>
      <c r="AK2" s="60" t="s">
        <v>70</v>
      </c>
      <c r="AL2" s="60" t="s">
        <v>140</v>
      </c>
      <c r="AM2" s="60" t="s">
        <v>131</v>
      </c>
      <c r="AN2" s="60" t="s">
        <v>71</v>
      </c>
      <c r="AO2" s="60" t="s">
        <v>72</v>
      </c>
      <c r="AP2" s="60" t="s">
        <v>133</v>
      </c>
      <c r="AQ2" s="2"/>
      <c r="AR2" s="28" t="s">
        <v>52</v>
      </c>
      <c r="AS2" s="28" t="s">
        <v>53</v>
      </c>
      <c r="AT2" s="28" t="s">
        <v>54</v>
      </c>
      <c r="AU2" s="28" t="s">
        <v>55</v>
      </c>
      <c r="AV2" s="28" t="s">
        <v>68</v>
      </c>
      <c r="AW2" s="28" t="s">
        <v>99</v>
      </c>
      <c r="AX2" s="28" t="s">
        <v>113</v>
      </c>
      <c r="AZ2" s="70" t="s">
        <v>153</v>
      </c>
      <c r="BB2" s="97" t="s">
        <v>154</v>
      </c>
      <c r="BC2" s="97"/>
      <c r="BD2" s="97"/>
      <c r="BE2" s="97"/>
      <c r="BF2" s="97"/>
      <c r="BG2" s="97"/>
      <c r="BH2" s="97"/>
      <c r="BI2" s="97"/>
      <c r="BJ2" s="97"/>
      <c r="BL2" s="97" t="s">
        <v>180</v>
      </c>
      <c r="BM2" s="97"/>
      <c r="BN2" s="97"/>
      <c r="BO2" s="97"/>
      <c r="BP2" s="97"/>
      <c r="BQ2" s="97"/>
      <c r="BR2" s="97"/>
      <c r="BS2" s="97"/>
      <c r="BT2" s="97"/>
      <c r="BU2" s="97"/>
      <c r="BW2" s="97" t="s">
        <v>212</v>
      </c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</row>
    <row r="3" spans="1:95" ht="27.6">
      <c r="A3" s="27" t="s">
        <v>16</v>
      </c>
      <c r="B3" s="6" t="s">
        <v>121</v>
      </c>
      <c r="C3" s="6" t="s">
        <v>21</v>
      </c>
      <c r="D3" s="9" t="s">
        <v>104</v>
      </c>
      <c r="E3" s="9" t="s">
        <v>101</v>
      </c>
      <c r="F3" s="9" t="s">
        <v>96</v>
      </c>
      <c r="G3" s="23" t="s">
        <v>87</v>
      </c>
      <c r="H3" s="23" t="s">
        <v>62</v>
      </c>
      <c r="I3" s="9" t="s">
        <v>66</v>
      </c>
      <c r="J3" s="9" t="s">
        <v>112</v>
      </c>
      <c r="K3" s="9" t="s">
        <v>0</v>
      </c>
      <c r="L3" s="9" t="s">
        <v>1</v>
      </c>
      <c r="M3" s="9" t="s">
        <v>92</v>
      </c>
      <c r="N3" s="9" t="s">
        <v>2</v>
      </c>
      <c r="O3" s="9" t="s">
        <v>3</v>
      </c>
      <c r="P3" s="9" t="s">
        <v>4</v>
      </c>
      <c r="Q3" s="23" t="s">
        <v>4</v>
      </c>
      <c r="R3" s="9" t="s">
        <v>5</v>
      </c>
      <c r="S3" s="23" t="s">
        <v>5</v>
      </c>
      <c r="T3" s="15" t="s">
        <v>6</v>
      </c>
      <c r="U3" s="15" t="s">
        <v>7</v>
      </c>
      <c r="V3" s="15" t="s">
        <v>8</v>
      </c>
      <c r="W3" s="15" t="s">
        <v>9</v>
      </c>
      <c r="X3" s="15" t="s">
        <v>10</v>
      </c>
      <c r="Y3" s="15" t="s">
        <v>11</v>
      </c>
      <c r="Z3" s="15" t="s">
        <v>12</v>
      </c>
      <c r="AA3" s="15" t="s">
        <v>13</v>
      </c>
      <c r="AB3" s="23" t="s">
        <v>105</v>
      </c>
      <c r="AC3" s="23" t="s">
        <v>106</v>
      </c>
      <c r="AD3" s="23" t="s">
        <v>107</v>
      </c>
      <c r="AE3" s="18" t="s">
        <v>76</v>
      </c>
      <c r="AF3" s="18" t="s">
        <v>91</v>
      </c>
      <c r="AG3" s="18" t="s">
        <v>77</v>
      </c>
      <c r="AH3" s="18" t="s">
        <v>78</v>
      </c>
      <c r="AI3" s="18" t="s">
        <v>14</v>
      </c>
      <c r="AJ3" s="61" t="s">
        <v>135</v>
      </c>
      <c r="AK3" s="61" t="s">
        <v>93</v>
      </c>
      <c r="AL3" s="61" t="s">
        <v>73</v>
      </c>
      <c r="AM3" s="61" t="s">
        <v>137</v>
      </c>
      <c r="AN3" s="61" t="s">
        <v>120</v>
      </c>
      <c r="AO3" s="61" t="s">
        <v>94</v>
      </c>
      <c r="AP3" s="61" t="s">
        <v>136</v>
      </c>
      <c r="AR3" s="29" t="s">
        <v>48</v>
      </c>
      <c r="AS3" s="29" t="s">
        <v>49</v>
      </c>
      <c r="AT3" s="29" t="s">
        <v>50</v>
      </c>
      <c r="AU3" s="29" t="s">
        <v>51</v>
      </c>
      <c r="AV3" s="29" t="s">
        <v>82</v>
      </c>
      <c r="AW3" s="30" t="s">
        <v>100</v>
      </c>
      <c r="AX3" s="30" t="s">
        <v>114</v>
      </c>
      <c r="AZ3" s="85" t="s">
        <v>213</v>
      </c>
      <c r="BA3" s="71"/>
      <c r="BB3" s="73" t="s">
        <v>144</v>
      </c>
      <c r="BC3" s="74" t="s">
        <v>145</v>
      </c>
      <c r="BD3" s="74" t="s">
        <v>146</v>
      </c>
      <c r="BE3" s="74" t="s">
        <v>147</v>
      </c>
      <c r="BF3" s="74" t="s">
        <v>148</v>
      </c>
      <c r="BG3" s="74" t="s">
        <v>149</v>
      </c>
      <c r="BH3" s="74" t="s">
        <v>150</v>
      </c>
      <c r="BI3" s="74" t="s">
        <v>151</v>
      </c>
      <c r="BJ3" s="89" t="s">
        <v>214</v>
      </c>
      <c r="BL3" s="82" t="s">
        <v>148</v>
      </c>
      <c r="BM3" s="83" t="s">
        <v>155</v>
      </c>
      <c r="BN3" s="83" t="s">
        <v>156</v>
      </c>
      <c r="BO3" s="83" t="s">
        <v>149</v>
      </c>
      <c r="BP3" s="83" t="s">
        <v>157</v>
      </c>
      <c r="BQ3" s="83" t="s">
        <v>155</v>
      </c>
      <c r="BR3" s="83" t="s">
        <v>156</v>
      </c>
      <c r="BS3" s="83" t="s">
        <v>158</v>
      </c>
      <c r="BT3" s="83" t="s">
        <v>159</v>
      </c>
      <c r="BU3" s="89" t="s">
        <v>215</v>
      </c>
      <c r="BW3" s="82" t="s">
        <v>148</v>
      </c>
      <c r="BX3" s="83" t="s">
        <v>155</v>
      </c>
      <c r="BY3" s="83" t="s">
        <v>156</v>
      </c>
      <c r="BZ3" s="83" t="s">
        <v>149</v>
      </c>
      <c r="CA3" s="83" t="s">
        <v>181</v>
      </c>
      <c r="CB3" s="83" t="s">
        <v>182</v>
      </c>
      <c r="CC3" s="83" t="s">
        <v>183</v>
      </c>
      <c r="CD3" s="83" t="s">
        <v>147</v>
      </c>
      <c r="CE3" s="83" t="s">
        <v>150</v>
      </c>
      <c r="CF3" s="83" t="s">
        <v>184</v>
      </c>
      <c r="CG3" s="83" t="s">
        <v>185</v>
      </c>
      <c r="CH3" s="83" t="s">
        <v>186</v>
      </c>
      <c r="CI3" s="83" t="s">
        <v>187</v>
      </c>
      <c r="CJ3" s="83" t="s">
        <v>188</v>
      </c>
      <c r="CK3" s="83" t="s">
        <v>189</v>
      </c>
      <c r="CL3" s="83" t="s">
        <v>190</v>
      </c>
      <c r="CM3" s="83" t="s">
        <v>191</v>
      </c>
      <c r="CN3" s="83" t="s">
        <v>192</v>
      </c>
      <c r="CO3" s="89" t="s">
        <v>216</v>
      </c>
      <c r="CQ3" s="94" t="s">
        <v>217</v>
      </c>
    </row>
    <row r="4" spans="1:95" s="1" customFormat="1" ht="29.4" customHeight="1">
      <c r="A4" s="27" t="s">
        <v>18</v>
      </c>
      <c r="B4" s="6" t="s">
        <v>124</v>
      </c>
      <c r="C4" s="6" t="s">
        <v>125</v>
      </c>
      <c r="D4" s="8" t="s">
        <v>123</v>
      </c>
      <c r="E4" s="8" t="s">
        <v>26</v>
      </c>
      <c r="F4" s="8" t="s">
        <v>103</v>
      </c>
      <c r="G4" s="51" t="s">
        <v>88</v>
      </c>
      <c r="H4" s="22" t="s">
        <v>85</v>
      </c>
      <c r="I4" s="8" t="s">
        <v>20</v>
      </c>
      <c r="J4" s="8" t="s">
        <v>22</v>
      </c>
      <c r="K4" s="8" t="s">
        <v>22</v>
      </c>
      <c r="L4" s="8" t="s">
        <v>22</v>
      </c>
      <c r="M4" s="8"/>
      <c r="N4" s="8" t="s">
        <v>26</v>
      </c>
      <c r="O4" s="8" t="s">
        <v>26</v>
      </c>
      <c r="P4" s="8" t="s">
        <v>103</v>
      </c>
      <c r="Q4" s="51" t="s">
        <v>31</v>
      </c>
      <c r="R4" s="8" t="s">
        <v>103</v>
      </c>
      <c r="S4" s="22" t="s">
        <v>31</v>
      </c>
      <c r="T4" s="14" t="s">
        <v>34</v>
      </c>
      <c r="U4" s="14" t="s">
        <v>35</v>
      </c>
      <c r="V4" s="14" t="s">
        <v>35</v>
      </c>
      <c r="W4" s="14" t="s">
        <v>35</v>
      </c>
      <c r="X4" s="14" t="s">
        <v>26</v>
      </c>
      <c r="Y4" s="14" t="s">
        <v>26</v>
      </c>
      <c r="Z4" s="14" t="s">
        <v>35</v>
      </c>
      <c r="AA4" s="14" t="s">
        <v>35</v>
      </c>
      <c r="AB4" s="22" t="s">
        <v>127</v>
      </c>
      <c r="AC4" s="22" t="s">
        <v>128</v>
      </c>
      <c r="AD4" s="22" t="s">
        <v>109</v>
      </c>
      <c r="AE4" s="17" t="s">
        <v>63</v>
      </c>
      <c r="AF4" s="17" t="s">
        <v>42</v>
      </c>
      <c r="AG4" s="17" t="s">
        <v>42</v>
      </c>
      <c r="AH4" s="17" t="s">
        <v>42</v>
      </c>
      <c r="AI4" s="17" t="s">
        <v>26</v>
      </c>
      <c r="AJ4" s="60" t="s">
        <v>139</v>
      </c>
      <c r="AK4" s="60" t="s">
        <v>138</v>
      </c>
      <c r="AL4" s="60" t="s">
        <v>141</v>
      </c>
      <c r="AM4" s="60" t="s">
        <v>139</v>
      </c>
      <c r="AN4" s="60" t="s">
        <v>80</v>
      </c>
      <c r="AO4" s="60" t="s">
        <v>80</v>
      </c>
      <c r="AP4" s="60" t="s">
        <v>139</v>
      </c>
      <c r="AR4" s="4" t="s">
        <v>64</v>
      </c>
      <c r="AS4" s="4" t="s">
        <v>64</v>
      </c>
      <c r="AT4" s="4" t="s">
        <v>64</v>
      </c>
      <c r="AU4" s="4" t="s">
        <v>64</v>
      </c>
      <c r="AV4" s="4" t="s">
        <v>64</v>
      </c>
      <c r="AW4" s="4" t="s">
        <v>64</v>
      </c>
      <c r="AX4" s="4" t="s">
        <v>64</v>
      </c>
      <c r="AZ4" s="86" t="s">
        <v>160</v>
      </c>
      <c r="BA4" s="72"/>
      <c r="BB4" s="75" t="s">
        <v>161</v>
      </c>
      <c r="BC4" s="76" t="s">
        <v>162</v>
      </c>
      <c r="BD4" s="76" t="s">
        <v>163</v>
      </c>
      <c r="BE4" s="76" t="s">
        <v>164</v>
      </c>
      <c r="BF4" s="76" t="s">
        <v>165</v>
      </c>
      <c r="BG4" s="76" t="s">
        <v>166</v>
      </c>
      <c r="BH4" s="76" t="s">
        <v>167</v>
      </c>
      <c r="BI4" s="76" t="s">
        <v>168</v>
      </c>
      <c r="BJ4" s="90" t="s">
        <v>169</v>
      </c>
      <c r="BL4" s="75" t="s">
        <v>170</v>
      </c>
      <c r="BM4" s="76" t="s">
        <v>171</v>
      </c>
      <c r="BN4" s="76" t="s">
        <v>172</v>
      </c>
      <c r="BO4" s="76" t="s">
        <v>173</v>
      </c>
      <c r="BP4" s="76" t="s">
        <v>174</v>
      </c>
      <c r="BQ4" s="76" t="s">
        <v>175</v>
      </c>
      <c r="BR4" s="76" t="s">
        <v>176</v>
      </c>
      <c r="BS4" s="76" t="s">
        <v>177</v>
      </c>
      <c r="BT4" s="76" t="s">
        <v>178</v>
      </c>
      <c r="BU4" s="90" t="s">
        <v>179</v>
      </c>
      <c r="BW4" s="75" t="s">
        <v>193</v>
      </c>
      <c r="BX4" s="76" t="s">
        <v>194</v>
      </c>
      <c r="BY4" s="76" t="s">
        <v>195</v>
      </c>
      <c r="BZ4" s="76" t="s">
        <v>196</v>
      </c>
      <c r="CA4" s="76" t="s">
        <v>197</v>
      </c>
      <c r="CB4" s="76" t="s">
        <v>198</v>
      </c>
      <c r="CC4" s="76" t="s">
        <v>199</v>
      </c>
      <c r="CD4" s="76" t="s">
        <v>200</v>
      </c>
      <c r="CE4" s="76" t="s">
        <v>201</v>
      </c>
      <c r="CF4" s="76" t="s">
        <v>202</v>
      </c>
      <c r="CG4" s="76" t="s">
        <v>203</v>
      </c>
      <c r="CH4" s="76" t="s">
        <v>204</v>
      </c>
      <c r="CI4" s="76" t="s">
        <v>205</v>
      </c>
      <c r="CJ4" s="76" t="s">
        <v>206</v>
      </c>
      <c r="CK4" s="76" t="s">
        <v>207</v>
      </c>
      <c r="CL4" s="76" t="s">
        <v>208</v>
      </c>
      <c r="CM4" s="76" t="s">
        <v>209</v>
      </c>
      <c r="CN4" s="76" t="s">
        <v>210</v>
      </c>
      <c r="CO4" s="90" t="s">
        <v>211</v>
      </c>
      <c r="CQ4" s="95"/>
    </row>
    <row r="5" spans="1:95" s="1" customFormat="1">
      <c r="A5" s="27" t="s">
        <v>19</v>
      </c>
      <c r="B5" s="6" t="s">
        <v>26</v>
      </c>
      <c r="C5" s="6" t="s">
        <v>26</v>
      </c>
      <c r="D5" s="8" t="s">
        <v>108</v>
      </c>
      <c r="E5" s="8" t="s">
        <v>108</v>
      </c>
      <c r="F5" s="8" t="s">
        <v>97</v>
      </c>
      <c r="G5" s="22" t="s">
        <v>89</v>
      </c>
      <c r="H5" s="22" t="s">
        <v>21</v>
      </c>
      <c r="I5" s="8" t="s">
        <v>67</v>
      </c>
      <c r="J5" s="8" t="s">
        <v>108</v>
      </c>
      <c r="K5" s="8" t="s">
        <v>23</v>
      </c>
      <c r="L5" s="8" t="s">
        <v>23</v>
      </c>
      <c r="M5" s="8" t="s">
        <v>90</v>
      </c>
      <c r="N5" s="8" t="s">
        <v>27</v>
      </c>
      <c r="O5" s="8" t="s">
        <v>29</v>
      </c>
      <c r="P5" s="8" t="s">
        <v>98</v>
      </c>
      <c r="Q5" s="22" t="s">
        <v>27</v>
      </c>
      <c r="R5" s="8" t="s">
        <v>29</v>
      </c>
      <c r="S5" s="22" t="s">
        <v>29</v>
      </c>
      <c r="T5" s="14" t="s">
        <v>23</v>
      </c>
      <c r="U5" s="14" t="s">
        <v>27</v>
      </c>
      <c r="V5" s="14" t="s">
        <v>29</v>
      </c>
      <c r="W5" s="14" t="s">
        <v>23</v>
      </c>
      <c r="X5" s="14" t="s">
        <v>27</v>
      </c>
      <c r="Y5" s="14" t="s">
        <v>29</v>
      </c>
      <c r="Z5" s="14" t="s">
        <v>23</v>
      </c>
      <c r="AA5" s="14" t="s">
        <v>23</v>
      </c>
      <c r="AB5" s="22" t="s">
        <v>108</v>
      </c>
      <c r="AC5" s="22" t="s">
        <v>108</v>
      </c>
      <c r="AD5" s="22" t="s">
        <v>108</v>
      </c>
      <c r="AE5" s="17" t="s">
        <v>43</v>
      </c>
      <c r="AF5" s="17" t="s">
        <v>43</v>
      </c>
      <c r="AG5" s="17" t="s">
        <v>45</v>
      </c>
      <c r="AH5" s="17" t="s">
        <v>45</v>
      </c>
      <c r="AI5" s="17" t="s">
        <v>45</v>
      </c>
      <c r="AJ5" s="60" t="s">
        <v>57</v>
      </c>
      <c r="AK5" s="60" t="s">
        <v>74</v>
      </c>
      <c r="AL5" s="60" t="s">
        <v>75</v>
      </c>
      <c r="AM5" s="60" t="s">
        <v>143</v>
      </c>
      <c r="AN5" s="60" t="s">
        <v>67</v>
      </c>
      <c r="AO5" s="60" t="s">
        <v>75</v>
      </c>
      <c r="AP5" s="60" t="s">
        <v>142</v>
      </c>
      <c r="AR5" s="20"/>
      <c r="AS5" s="20"/>
      <c r="AT5" s="20"/>
      <c r="AU5" s="20"/>
      <c r="AV5" s="20"/>
      <c r="AW5" s="20"/>
      <c r="AX5" s="20"/>
      <c r="AZ5" s="86"/>
      <c r="BA5" s="72"/>
      <c r="BB5" s="75"/>
      <c r="BC5" s="76"/>
      <c r="BD5" s="76"/>
      <c r="BE5" s="76"/>
      <c r="BF5" s="76"/>
      <c r="BG5" s="76"/>
      <c r="BH5" s="76"/>
      <c r="BI5" s="76"/>
      <c r="BJ5" s="91"/>
      <c r="BL5" s="75"/>
      <c r="BM5" s="76"/>
      <c r="BN5" s="76"/>
      <c r="BO5" s="76"/>
      <c r="BP5" s="76"/>
      <c r="BQ5" s="76"/>
      <c r="BR5" s="76"/>
      <c r="BS5" s="76"/>
      <c r="BT5" s="76"/>
      <c r="BU5" s="90"/>
      <c r="BW5" s="75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90"/>
      <c r="CQ5" s="95"/>
    </row>
    <row r="6" spans="1:95" s="1" customFormat="1" ht="25.2" customHeight="1">
      <c r="A6" s="27" t="s">
        <v>17</v>
      </c>
      <c r="B6" s="6">
        <f>0.004*$AB$6*10</f>
        <v>121.21212121212123</v>
      </c>
      <c r="C6" s="6">
        <v>800</v>
      </c>
      <c r="D6" s="8">
        <v>100.56</v>
      </c>
      <c r="E6" s="8">
        <v>0.2014</v>
      </c>
      <c r="F6" s="8">
        <v>0.15</v>
      </c>
      <c r="G6" s="24">
        <f>F6*0.000001</f>
        <v>1.4999999999999999E-7</v>
      </c>
      <c r="H6" s="24">
        <f>(K6*M6)/G6</f>
        <v>1.83E-3</v>
      </c>
      <c r="I6" s="11">
        <v>3.5000000000000001E-3</v>
      </c>
      <c r="J6" s="12">
        <f>0.0000148*(AD6/282)^(3/2)</f>
        <v>1.6077275320020734E-5</v>
      </c>
      <c r="K6" s="11">
        <v>1.8300000000000001E-9</v>
      </c>
      <c r="L6" s="11">
        <f>0.52*K6</f>
        <v>9.5160000000000011E-10</v>
      </c>
      <c r="M6" s="11">
        <v>0.15</v>
      </c>
      <c r="N6" s="8">
        <v>0.5</v>
      </c>
      <c r="O6" s="8">
        <v>0.1</v>
      </c>
      <c r="P6" s="8">
        <f>0.00000040138*1000000</f>
        <v>0.40138000000000001</v>
      </c>
      <c r="Q6" s="24">
        <f>P6*0.000001</f>
        <v>4.0138000000000001E-7</v>
      </c>
      <c r="R6" s="13">
        <v>2.0068999999999999</v>
      </c>
      <c r="S6" s="24">
        <f>R6*0.000001</f>
        <v>2.0068999999999998E-6</v>
      </c>
      <c r="T6" s="16">
        <v>300000</v>
      </c>
      <c r="U6" s="14">
        <v>0.5</v>
      </c>
      <c r="V6" s="14">
        <v>0.3</v>
      </c>
      <c r="W6" s="14" t="s">
        <v>36</v>
      </c>
      <c r="X6" s="14">
        <v>7.3</v>
      </c>
      <c r="Y6" s="14">
        <v>8</v>
      </c>
      <c r="Z6" s="16">
        <v>5.6000000000000004E-7</v>
      </c>
      <c r="AA6" s="14">
        <v>1.5</v>
      </c>
      <c r="AB6" s="22">
        <f>1/0.00033</f>
        <v>3030.3030303030305</v>
      </c>
      <c r="AC6" s="22">
        <v>8.31</v>
      </c>
      <c r="AD6" s="34">
        <v>298</v>
      </c>
      <c r="AE6" s="35">
        <v>6.8963849829339797E-6</v>
      </c>
      <c r="AF6" s="35">
        <v>2.81033035672721E-6</v>
      </c>
      <c r="AG6" s="19">
        <v>5.6365351893179404E-6</v>
      </c>
      <c r="AH6" s="19">
        <f>3.17132072304219E-06/4</f>
        <v>7.9283018076054755E-7</v>
      </c>
      <c r="AI6" s="17">
        <v>0</v>
      </c>
      <c r="AJ6" s="62">
        <v>17.0379</v>
      </c>
      <c r="AK6" s="63">
        <f>3.382262765814E-10*4</f>
        <v>1.3529051063256E-9</v>
      </c>
      <c r="AL6" s="63">
        <v>3.2277888195919797E-5</v>
      </c>
      <c r="AM6" s="62">
        <v>37.399130662903403</v>
      </c>
      <c r="AN6" s="63">
        <f>3.11533327757695E-10*4</f>
        <v>1.2461333110307799E-9</v>
      </c>
      <c r="AO6" s="63">
        <f>1.57904787930584E-10*4</f>
        <v>6.3161915172233601E-10</v>
      </c>
      <c r="AP6" s="62">
        <v>1</v>
      </c>
      <c r="AR6" s="21">
        <f>AZ6</f>
        <v>0.97189400997045294</v>
      </c>
      <c r="AS6" s="21">
        <f>BI6/($AJ$6*$AP$6)*$AB$6*0.00001</f>
        <v>0.43264930420944253</v>
      </c>
      <c r="AT6" s="21">
        <f xml:space="preserve"> BT6 / ($AJ$6 * $AP$6) / 0.00033 * 0.00001</f>
        <v>0.59505567831873396</v>
      </c>
      <c r="AU6" s="36">
        <f xml:space="preserve"> CN6 / ($AJ$6 * $AP$6) / 0.00033 * 0.00001</f>
        <v>-0.11477705874465219</v>
      </c>
      <c r="AV6" s="21">
        <f>AR6+AS6+AT6+AU6</f>
        <v>1.8848219337539773</v>
      </c>
      <c r="AW6" s="21">
        <f t="shared" ref="AW6:AW19" si="0">($D$6*0.000001/2*1.57/$J$6/$E$6)*$AC$6*$AD$6*0.00001</f>
        <v>0.60372657620828041</v>
      </c>
      <c r="AX6" s="21">
        <f>AW6+AV6</f>
        <v>2.488548509962258</v>
      </c>
      <c r="AZ6" s="87">
        <f>1/$H$6/$AJ$6*$AB$6*0.00001</f>
        <v>0.97189400997045294</v>
      </c>
      <c r="BA6" s="72"/>
      <c r="BB6" s="77">
        <f>$K$6*$N$6</f>
        <v>9.1500000000000005E-10</v>
      </c>
      <c r="BC6" s="78">
        <f>$L$6*$N$6</f>
        <v>4.7580000000000005E-10</v>
      </c>
      <c r="BD6" s="76">
        <f>POWER(10,-$X$6)</f>
        <v>5.0118723362727164E-8</v>
      </c>
      <c r="BE6" s="78">
        <f>$Z$6/BD6</f>
        <v>11.173468963825741</v>
      </c>
      <c r="BF6" s="76">
        <f>AE6/$AJ$6</f>
        <v>4.0476731187141487E-7</v>
      </c>
      <c r="BG6" s="76">
        <f>AF6/$AM$6</f>
        <v>7.5144269583645879E-8</v>
      </c>
      <c r="BH6" s="78">
        <f>BB6+BC6*BE6</f>
        <v>6.2313365329882882E-9</v>
      </c>
      <c r="BI6" s="78">
        <f>$Q$6 / BH6 + (SQRT(BC6 * $AA$6 * BE6) * (BB6 * BG6 / BF6 + BC6 * (2 + BG6 / BF6) * BE6) * TANH($Q$6 / 2 * SQRT($T$6 * BH6 * $U$6 / BC6 / BB6 / $AA$6 / BE6))) / (SQRT(BB6 * $T$6 * $U$6) * POWER(BH6, 3 / 2))</f>
        <v>243.25737414627196</v>
      </c>
      <c r="BJ6" s="91">
        <f>BI6/($AJ$6*$AP$6)*$AB$6*0.00001</f>
        <v>0.43264930420944253</v>
      </c>
      <c r="BL6" s="75">
        <f xml:space="preserve"> AE6 / $AJ$6</f>
        <v>4.0476731187141487E-7</v>
      </c>
      <c r="BM6" s="78">
        <f>AG6 / $AJ$6</f>
        <v>3.3082335201626608E-7</v>
      </c>
      <c r="BN6" s="78">
        <f xml:space="preserve"> $AH$6 / $AJ$6</f>
        <v>4.6533327508703979E-8</v>
      </c>
      <c r="BO6" s="76">
        <f>AF6 / $AM$6</f>
        <v>7.5144269583645879E-8</v>
      </c>
      <c r="BP6" s="78">
        <f>BL6 * $AK$6 / $AN$6</f>
        <v>4.3944877988338892E-7</v>
      </c>
      <c r="BQ6" s="78">
        <f xml:space="preserve"> BM6 * $AK$6 / $AN$6</f>
        <v>3.5916911800097338E-7</v>
      </c>
      <c r="BR6" s="78">
        <f xml:space="preserve"> BN6 * $AK$6 / $AN$6</f>
        <v>5.052041851667675E-8</v>
      </c>
      <c r="BS6" s="78">
        <f xml:space="preserve"> BP6 + $AI$6 * (BQ6 + BR6)</f>
        <v>4.3944877988338892E-7</v>
      </c>
      <c r="BT6" s="78">
        <f xml:space="preserve"> 1 / $I$6 / (1 - BO6 / (BO6 + BS6)) * BS6 / BP6</f>
        <v>334.57047167368302</v>
      </c>
      <c r="BU6" s="90">
        <f xml:space="preserve"> BT6 / ($AJ$6 * $AP$6) / 0.00033 * 0.00001</f>
        <v>0.59505567831873396</v>
      </c>
      <c r="BW6" s="75">
        <f xml:space="preserve"> AE6 / $AJ$6</f>
        <v>4.0476731187141487E-7</v>
      </c>
      <c r="BX6" s="76">
        <f xml:space="preserve"> AG6 / $AJ$6</f>
        <v>3.3082335201626608E-7</v>
      </c>
      <c r="BY6" s="76">
        <f xml:space="preserve"> $AH$6 / $AJ$6</f>
        <v>4.6533327508703979E-8</v>
      </c>
      <c r="BZ6" s="76">
        <f xml:space="preserve"> AF6 / $AM$6</f>
        <v>7.5144269583645879E-8</v>
      </c>
      <c r="CA6" s="78">
        <f xml:space="preserve"> $K$6 * $O$6</f>
        <v>1.8300000000000001E-10</v>
      </c>
      <c r="CB6" s="76">
        <f xml:space="preserve"> $L$6 * $O$6</f>
        <v>9.5160000000000011E-11</v>
      </c>
      <c r="CC6" s="76">
        <f>POWER(10, -$Y$6)</f>
        <v>1E-8</v>
      </c>
      <c r="CD6" s="78">
        <f xml:space="preserve"> $Z$6 / CC6</f>
        <v>56</v>
      </c>
      <c r="CE6" s="78">
        <f xml:space="preserve"> CA6 + CB6 * CD6</f>
        <v>5.5119600000000005E-9</v>
      </c>
      <c r="CF6" s="76">
        <f>EXP($S$6 * SQRT($T$6 * (CA6 + CB6 * CD6) * $V$6 / (CB6 * CA6 * $AA$6 * CD6)))</f>
        <v>1.1236319254153158E+16</v>
      </c>
      <c r="CG6" s="78">
        <f xml:space="preserve"> (BW6 + BX6 + BY6) * $AJ$6 / $AL$6</f>
        <v>0.41284455389795155</v>
      </c>
      <c r="CH6" s="76">
        <f xml:space="preserve"> (BX6 + BY6) / $AP$6 * $AK$6 / $AO$6 * (1 - $AI$6)</f>
        <v>8.0828419664487372E-7</v>
      </c>
      <c r="CI6" s="78">
        <f xml:space="preserve"> 1 / (6 * BW6 * SQRT(CA6) * $T$6 * POWER(CE6, 5 / 2) * $V$6)</f>
        <v>1.4993744969210792E+26</v>
      </c>
      <c r="CJ6" s="78">
        <f xml:space="preserve"> -SQRT(CA6) * SQRT(CE6) * (6 * CB6 * $AA$6 * CD6 * (2 * BZ6 * CE6 + $S$6 * CB6 * CD6 * CG6)) / $S$6</f>
        <v>-1.2585479190459371E-25</v>
      </c>
      <c r="CK6" s="78">
        <f xml:space="preserve"> 6 * SQRT(CB6) * SQRT($T$6) * SQRT($AA$6) * SQRT(CD6) * CE6 * SQRT($V$6)</f>
        <v>8.8704452986822732E-10</v>
      </c>
      <c r="CL6" s="76">
        <f xml:space="preserve"> (CA6 * BZ6 + CB6 * CD6 * (-CH6 + BZ6 + $S$6 * CG6)) * (CF6 + 1 / CF6) / (CF6 - 1 / CF6)</f>
        <v>5.2212250508784808E-16</v>
      </c>
      <c r="CM6" s="76">
        <f xml:space="preserve"> (CA6 * BZ6 + CB6 * (CH6 + BZ6) * CD6) * 2 / (CF6 - 1 / CF6)</f>
        <v>8.4040089177455169E-31</v>
      </c>
      <c r="CN6" s="78">
        <f xml:space="preserve"> $S$6 / CE6 * (2 * $S$6 * CG6 - 3 * CH6) / 6 / BW6 + CI6 * (CJ6 + CK6 * (CL6 + CM6))</f>
        <v>-64.533481623121816</v>
      </c>
      <c r="CO6" s="90">
        <f xml:space="preserve"> CN6 / ($AJ$6 * $AP$6) / 0.00033 * 0.00001</f>
        <v>-0.11477705874465219</v>
      </c>
      <c r="CQ6" s="86">
        <f>AZ6+BJ6+BU6+CO6</f>
        <v>1.8848219337539773</v>
      </c>
    </row>
    <row r="7" spans="1:95" s="1" customFormat="1" ht="19.8" customHeight="1">
      <c r="A7" s="6"/>
      <c r="B7" s="6">
        <f>0.006*$AB$6*10</f>
        <v>181.81818181818184</v>
      </c>
      <c r="C7" s="6">
        <v>800</v>
      </c>
      <c r="D7" s="42"/>
      <c r="E7" s="42"/>
      <c r="F7" s="42"/>
      <c r="G7" s="47"/>
      <c r="H7" s="48"/>
      <c r="I7" s="43"/>
      <c r="J7" s="44"/>
      <c r="K7" s="43"/>
      <c r="L7" s="43"/>
      <c r="M7" s="43"/>
      <c r="N7" s="42"/>
      <c r="O7" s="42"/>
      <c r="P7" s="42"/>
      <c r="Q7" s="48"/>
      <c r="R7" s="43"/>
      <c r="S7" s="52"/>
      <c r="T7" s="53"/>
      <c r="U7" s="54"/>
      <c r="V7" s="54"/>
      <c r="W7" s="54"/>
      <c r="X7" s="54"/>
      <c r="Y7" s="54"/>
      <c r="Z7" s="53"/>
      <c r="AA7" s="54"/>
      <c r="AB7" s="40"/>
      <c r="AC7" s="40"/>
      <c r="AD7" s="40"/>
      <c r="AE7" s="35">
        <v>1.12731369575853E-5</v>
      </c>
      <c r="AF7" s="35">
        <v>4.1341155628889198E-6</v>
      </c>
      <c r="AG7" s="19">
        <v>5.0699032345295803E-6</v>
      </c>
      <c r="AH7" s="37"/>
      <c r="AI7" s="38"/>
      <c r="AJ7" s="64"/>
      <c r="AK7" s="65"/>
      <c r="AL7" s="65"/>
      <c r="AM7" s="65"/>
      <c r="AN7" s="65"/>
      <c r="AO7" s="65"/>
      <c r="AP7" s="65"/>
      <c r="AR7" s="21">
        <f t="shared" ref="AR7:AR19" si="1">AZ7</f>
        <v>0.97189400997045294</v>
      </c>
      <c r="AS7" s="21">
        <f t="shared" ref="AS7:AS19" si="2">BI7/($AJ$6*$AP$6)*$AB$6*0.00001</f>
        <v>0.42952548636602228</v>
      </c>
      <c r="AT7" s="21">
        <f t="shared" ref="AT7:AT19" si="3" xml:space="preserve"> BT7 / ($AJ$6 * $AP$6) / 0.00033 * 0.00001</f>
        <v>0.58635898008447063</v>
      </c>
      <c r="AU7" s="36">
        <f t="shared" ref="AU7:AU19" si="4" xml:space="preserve"> CN7 / ($AJ$6 * $AP$6) / 0.00033 * 0.00001</f>
        <v>0.30131247801426231</v>
      </c>
      <c r="AV7" s="21">
        <f t="shared" ref="AV7:AV19" si="5">AR7+AS7+AT7+AU7</f>
        <v>2.289090954435208</v>
      </c>
      <c r="AW7" s="21">
        <f t="shared" si="0"/>
        <v>0.60372657620828041</v>
      </c>
      <c r="AX7" s="21">
        <f t="shared" ref="AX7:AX19" si="6">AW7+AV7</f>
        <v>2.8928175306434882</v>
      </c>
      <c r="AZ7" s="87">
        <f t="shared" ref="AZ7:AZ19" si="7">1/$H$6/$AJ$6*$AB$6*0.00001</f>
        <v>0.97189400997045294</v>
      </c>
      <c r="BA7" s="72"/>
      <c r="BB7" s="77">
        <f t="shared" ref="BB7:BB19" si="8">$K$6*$N$6</f>
        <v>9.1500000000000005E-10</v>
      </c>
      <c r="BC7" s="78">
        <f t="shared" ref="BC7:BC19" si="9">$L$6*$N$6</f>
        <v>4.7580000000000005E-10</v>
      </c>
      <c r="BD7" s="76">
        <f t="shared" ref="BD7:BD19" si="10">POWER(10,-$X$6)</f>
        <v>5.0118723362727164E-8</v>
      </c>
      <c r="BE7" s="78">
        <f t="shared" ref="BE7:BE19" si="11">$Z$6/BD7</f>
        <v>11.173468963825741</v>
      </c>
      <c r="BF7" s="76">
        <f t="shared" ref="BF7:BF19" si="12">AE7/$AJ$6</f>
        <v>6.6165061172945603E-7</v>
      </c>
      <c r="BG7" s="76">
        <f t="shared" ref="BG7:BG19" si="13">AF7/$AM$6</f>
        <v>1.1054041871057696E-7</v>
      </c>
      <c r="BH7" s="78">
        <f t="shared" ref="BH7:BH19" si="14">BB7+BC7*BE7</f>
        <v>6.2313365329882882E-9</v>
      </c>
      <c r="BI7" s="78">
        <f t="shared" ref="BI7:BI19" si="15">$Q$6 / BH7 + (SQRT(BC7 * $AA$6 * BE7) * (BB7 * BG7 / BF7 + BC7 * (2 + BG7 / BF7) * BE7) * TANH($Q$6 / 2 * SQRT($T$6 * BH7 * $U$6 / BC7 / BB7 / $AA$6 / BE7))) / (SQRT(BB7 * $T$6 * $U$6) * POWER(BH7, 3 / 2))</f>
        <v>241.50100537713644</v>
      </c>
      <c r="BJ7" s="91">
        <f t="shared" ref="BJ7:BJ19" si="16">BI7/($AJ$6*$AP$6)*$AB$6*0.00001</f>
        <v>0.42952548636602228</v>
      </c>
      <c r="BL7" s="75">
        <f t="shared" ref="BL7:BL19" si="17" xml:space="preserve"> AE7 / $AJ$6</f>
        <v>6.6165061172945603E-7</v>
      </c>
      <c r="BM7" s="78">
        <f t="shared" ref="BM7:BM19" si="18">AG7 / $AJ$6</f>
        <v>2.9756620443420728E-7</v>
      </c>
      <c r="BN7" s="78">
        <f t="shared" ref="BN7:BN19" si="19" xml:space="preserve"> $AH$6 / $AJ$6</f>
        <v>4.6533327508703979E-8</v>
      </c>
      <c r="BO7" s="76">
        <f t="shared" ref="BO7:BO19" si="20">AF7 / $AM$6</f>
        <v>1.1054041871057696E-7</v>
      </c>
      <c r="BP7" s="78">
        <f t="shared" ref="BP7:BP19" si="21">BL7 * $AK$6 / $AN$6</f>
        <v>7.1834247852004287E-7</v>
      </c>
      <c r="BQ7" s="78">
        <f t="shared" ref="BQ7:BQ19" si="22" xml:space="preserve"> BM7 * $AK$6 / $AN$6</f>
        <v>3.2306241546176161E-7</v>
      </c>
      <c r="BR7" s="78">
        <f t="shared" ref="BR7:BR19" si="23" xml:space="preserve"> BN7 * $AK$6 / $AN$6</f>
        <v>5.052041851667675E-8</v>
      </c>
      <c r="BS7" s="78">
        <f t="shared" ref="BS7:BS19" si="24" xml:space="preserve"> BP7 + $AI$6 * (BQ7 + BR7)</f>
        <v>7.1834247852004287E-7</v>
      </c>
      <c r="BT7" s="78">
        <f t="shared" ref="BT7:BT19" si="25" xml:space="preserve"> 1 / $I$6 / (1 - BO7 / (BO7 + BS7)) * BS7 / BP7</f>
        <v>329.68074700377963</v>
      </c>
      <c r="BU7" s="90">
        <f t="shared" ref="BU7:BU19" si="26" xml:space="preserve"> BT7 / ($AJ$6 * $AP$6) / 0.00033 * 0.00001</f>
        <v>0.58635898008447063</v>
      </c>
      <c r="BW7" s="75">
        <f t="shared" ref="BW7:BW19" si="27" xml:space="preserve"> AE7 / $AJ$6</f>
        <v>6.6165061172945603E-7</v>
      </c>
      <c r="BX7" s="76">
        <f t="shared" ref="BX7:BX19" si="28" xml:space="preserve"> AG7 / $AJ$6</f>
        <v>2.9756620443420728E-7</v>
      </c>
      <c r="BY7" s="76">
        <f t="shared" ref="BY7:BY19" si="29" xml:space="preserve"> $AH$6 / $AJ$6</f>
        <v>4.6533327508703979E-8</v>
      </c>
      <c r="BZ7" s="76">
        <f t="shared" ref="BZ7:BZ19" si="30" xml:space="preserve"> AF7 / $AM$6</f>
        <v>1.1054041871057696E-7</v>
      </c>
      <c r="CA7" s="78">
        <f t="shared" ref="CA7:CA19" si="31" xml:space="preserve"> $K$6 * $O$6</f>
        <v>1.8300000000000001E-10</v>
      </c>
      <c r="CB7" s="76">
        <f t="shared" ref="CB7:CB19" si="32" xml:space="preserve"> $L$6 * $O$6</f>
        <v>9.5160000000000011E-11</v>
      </c>
      <c r="CC7" s="76">
        <f t="shared" ref="CC7:CC19" si="33">POWER(10, -$Y$6)</f>
        <v>1E-8</v>
      </c>
      <c r="CD7" s="78">
        <f t="shared" ref="CD7:CD19" si="34" xml:space="preserve"> $Z$6 / CC7</f>
        <v>56</v>
      </c>
      <c r="CE7" s="78">
        <f t="shared" ref="CE7:CE19" si="35" xml:space="preserve"> CA7 + CB7 * CD7</f>
        <v>5.5119600000000005E-9</v>
      </c>
      <c r="CF7" s="76">
        <f t="shared" ref="CF7:CF19" si="36">EXP($S$6 * SQRT($T$6 * (CA7 + CB7 * CD7) * $V$6 / (CB7 * CA7 * $AA$6 * CD7)))</f>
        <v>1.1236319254153158E+16</v>
      </c>
      <c r="CG7" s="78">
        <f t="shared" ref="CG7:CG19" si="37" xml:space="preserve"> (BW7 + BX7 + BY7) * $AJ$6 / $AL$6</f>
        <v>0.53088573418633844</v>
      </c>
      <c r="CH7" s="76">
        <f t="shared" ref="CH7:CH19" si="38" xml:space="preserve"> (BX7 + BY7) / $AP$6 * $AK$6 / $AO$6 * (1 - $AI$6)</f>
        <v>7.3704860370425465E-7</v>
      </c>
      <c r="CI7" s="78">
        <f t="shared" ref="CI7:CI19" si="39" xml:space="preserve"> 1 / (6 * BW7 * SQRT(CA7) * $T$6 * POWER(CE7, 5 / 2) * $V$6)</f>
        <v>9.1724812740814991E+25</v>
      </c>
      <c r="CJ7" s="78">
        <f t="shared" ref="CJ7:CJ19" si="40" xml:space="preserve"> -SQRT(CA7) * SQRT(CE7) * (6 * CB7 * $AA$6 * CD7 * (2 * BZ7 * CE7 + $S$6 * CB7 * CD7 * CG7)) / $S$6</f>
        <v>-1.6552005343601273E-25</v>
      </c>
      <c r="CK7" s="78">
        <f t="shared" ref="CK7:CK19" si="41" xml:space="preserve"> 6 * SQRT(CB7) * SQRT($T$6) * SQRT($AA$6) * SQRT(CD7) * CE7 * SQRT($V$6)</f>
        <v>8.8704452986822732E-10</v>
      </c>
      <c r="CL7" s="76">
        <f t="shared" ref="CL7:CL19" si="42" xml:space="preserve"> (CA7 * BZ7 + CB7 * CD7 * (-CH7 + BZ7 + $S$6 * CG7)) * (CF7 + 1 / CF7) / (CF7 - 1 / CF7)</f>
        <v>2.3592500982295285E-15</v>
      </c>
      <c r="CM7" s="76">
        <f t="shared" ref="CM7:CM19" si="43" xml:space="preserve"> (CA7 * BZ7 + CB7 * (CH7 + BZ7) * CD7) * 2 / (CF7 - 1 / CF7)</f>
        <v>8.0755927112605259E-31</v>
      </c>
      <c r="CN7" s="78">
        <f t="shared" ref="CN7:CN19" si="44" xml:space="preserve"> $S$6 / CE7 * (2 * $S$6 * CG7 - 3 * CH7) / 6 / BW7 + CI7 * (CJ7 + CK7 * (CL7 + CM7))</f>
        <v>169.41315168225358</v>
      </c>
      <c r="CO7" s="90">
        <f t="shared" ref="CO7:CO19" si="45" xml:space="preserve"> CN7 / ($AJ$6 * $AP$6) / 0.00033 * 0.00001</f>
        <v>0.30131247801426231</v>
      </c>
      <c r="CQ7" s="86">
        <f t="shared" ref="CQ7:CQ19" si="46">AZ7+BJ7+BU7+CO7</f>
        <v>2.289090954435208</v>
      </c>
    </row>
    <row r="8" spans="1:95" ht="16.2" customHeight="1">
      <c r="A8" s="57"/>
      <c r="B8" s="6">
        <f>0.01*$AB$6*10</f>
        <v>303.03030303030306</v>
      </c>
      <c r="C8" s="6">
        <v>800</v>
      </c>
      <c r="D8" s="45"/>
      <c r="E8" s="45"/>
      <c r="F8" s="45"/>
      <c r="G8" s="49"/>
      <c r="H8" s="50"/>
      <c r="I8" s="46"/>
      <c r="J8" s="46"/>
      <c r="K8" s="46"/>
      <c r="L8" s="46"/>
      <c r="M8" s="46"/>
      <c r="N8" s="46"/>
      <c r="O8" s="46"/>
      <c r="P8" s="46"/>
      <c r="Q8" s="50"/>
      <c r="R8" s="46"/>
      <c r="S8" s="41"/>
      <c r="T8" s="55"/>
      <c r="U8" s="55"/>
      <c r="V8" s="55"/>
      <c r="W8" s="55"/>
      <c r="X8" s="55"/>
      <c r="Y8" s="55"/>
      <c r="Z8" s="55"/>
      <c r="AA8" s="55"/>
      <c r="AB8" s="41"/>
      <c r="AC8" s="41"/>
      <c r="AD8" s="41"/>
      <c r="AE8" s="35">
        <v>1.7882796440456201E-5</v>
      </c>
      <c r="AF8" s="35">
        <v>6.9387352588168302E-6</v>
      </c>
      <c r="AG8" s="19">
        <v>4.1092613484560203E-6</v>
      </c>
      <c r="AH8" s="39"/>
      <c r="AI8" s="38"/>
      <c r="AJ8" s="66"/>
      <c r="AK8" s="66"/>
      <c r="AL8" s="66"/>
      <c r="AM8" s="66"/>
      <c r="AN8" s="65"/>
      <c r="AO8" s="67"/>
      <c r="AP8" s="67"/>
      <c r="AR8" s="21">
        <f t="shared" si="1"/>
        <v>0.97189400997045294</v>
      </c>
      <c r="AS8" s="21">
        <f t="shared" si="2"/>
        <v>0.431156061361613</v>
      </c>
      <c r="AT8" s="21">
        <f t="shared" si="3"/>
        <v>0.59089849531736316</v>
      </c>
      <c r="AU8" s="36">
        <f t="shared" si="4"/>
        <v>0.55993661103777992</v>
      </c>
      <c r="AV8" s="21">
        <f t="shared" si="5"/>
        <v>2.5538851776872091</v>
      </c>
      <c r="AW8" s="21">
        <f t="shared" si="0"/>
        <v>0.60372657620828041</v>
      </c>
      <c r="AX8" s="21">
        <f t="shared" si="6"/>
        <v>3.1576117538954893</v>
      </c>
      <c r="AZ8" s="87">
        <f t="shared" si="7"/>
        <v>0.97189400997045294</v>
      </c>
      <c r="BA8" s="71"/>
      <c r="BB8" s="77">
        <f t="shared" si="8"/>
        <v>9.1500000000000005E-10</v>
      </c>
      <c r="BC8" s="78">
        <f t="shared" si="9"/>
        <v>4.7580000000000005E-10</v>
      </c>
      <c r="BD8" s="76">
        <f t="shared" si="10"/>
        <v>5.0118723362727164E-8</v>
      </c>
      <c r="BE8" s="78">
        <f t="shared" si="11"/>
        <v>11.173468963825741</v>
      </c>
      <c r="BF8" s="76">
        <f t="shared" si="12"/>
        <v>1.049589235789399E-6</v>
      </c>
      <c r="BG8" s="76">
        <f t="shared" si="13"/>
        <v>1.8553199327971106E-7</v>
      </c>
      <c r="BH8" s="78">
        <f t="shared" si="14"/>
        <v>6.2313365329882882E-9</v>
      </c>
      <c r="BI8" s="78">
        <f t="shared" si="15"/>
        <v>242.41779730980983</v>
      </c>
      <c r="BJ8" s="91">
        <f t="shared" si="16"/>
        <v>0.431156061361613</v>
      </c>
      <c r="BL8" s="75">
        <f t="shared" si="17"/>
        <v>1.049589235789399E-6</v>
      </c>
      <c r="BM8" s="78">
        <f t="shared" si="18"/>
        <v>2.4118355832913798E-7</v>
      </c>
      <c r="BN8" s="78">
        <f t="shared" si="19"/>
        <v>4.6533327508703979E-8</v>
      </c>
      <c r="BO8" s="76">
        <f t="shared" si="20"/>
        <v>1.8553199327971106E-7</v>
      </c>
      <c r="BP8" s="78">
        <f t="shared" si="21"/>
        <v>1.1395206468473802E-6</v>
      </c>
      <c r="BQ8" s="78">
        <f t="shared" si="22"/>
        <v>2.6184876428298068E-7</v>
      </c>
      <c r="BR8" s="78">
        <f t="shared" si="23"/>
        <v>5.052041851667675E-8</v>
      </c>
      <c r="BS8" s="78">
        <f t="shared" si="24"/>
        <v>1.1395206468473802E-6</v>
      </c>
      <c r="BT8" s="78">
        <f t="shared" si="25"/>
        <v>332.23309262113412</v>
      </c>
      <c r="BU8" s="90">
        <f t="shared" si="26"/>
        <v>0.59089849531736316</v>
      </c>
      <c r="BW8" s="75">
        <f t="shared" si="27"/>
        <v>1.049589235789399E-6</v>
      </c>
      <c r="BX8" s="76">
        <f t="shared" si="28"/>
        <v>2.4118355832913798E-7</v>
      </c>
      <c r="BY8" s="76">
        <f t="shared" si="29"/>
        <v>4.6533327508703979E-8</v>
      </c>
      <c r="BZ8" s="76">
        <f t="shared" si="30"/>
        <v>1.8553199327971106E-7</v>
      </c>
      <c r="CA8" s="78">
        <f t="shared" si="31"/>
        <v>1.8300000000000001E-10</v>
      </c>
      <c r="CB8" s="76">
        <f t="shared" si="32"/>
        <v>9.5160000000000011E-11</v>
      </c>
      <c r="CC8" s="76">
        <f t="shared" si="33"/>
        <v>1E-8</v>
      </c>
      <c r="CD8" s="78">
        <f t="shared" si="34"/>
        <v>56</v>
      </c>
      <c r="CE8" s="78">
        <f t="shared" si="35"/>
        <v>5.5119600000000005E-9</v>
      </c>
      <c r="CF8" s="76">
        <f t="shared" si="36"/>
        <v>1.1236319254153158E+16</v>
      </c>
      <c r="CG8" s="78">
        <f t="shared" si="37"/>
        <v>0.70589772885305979</v>
      </c>
      <c r="CH8" s="76">
        <f t="shared" si="38"/>
        <v>6.1627903929872376E-7</v>
      </c>
      <c r="CI8" s="78">
        <f t="shared" si="39"/>
        <v>5.7822409368637515E+25</v>
      </c>
      <c r="CJ8" s="78">
        <f t="shared" si="40"/>
        <v>-2.3028561825984465E-25</v>
      </c>
      <c r="CK8" s="78">
        <f t="shared" si="41"/>
        <v>8.8704452986822732E-10</v>
      </c>
      <c r="CL8" s="76">
        <f t="shared" si="42"/>
        <v>5.287875833966239E-15</v>
      </c>
      <c r="CM8" s="76">
        <f t="shared" si="43"/>
        <v>7.6658043929243106E-31</v>
      </c>
      <c r="CN8" s="78">
        <f t="shared" si="44"/>
        <v>314.82475151161947</v>
      </c>
      <c r="CO8" s="90">
        <f t="shared" si="45"/>
        <v>0.55993661103777992</v>
      </c>
      <c r="CQ8" s="86">
        <f t="shared" si="46"/>
        <v>2.5538851776872091</v>
      </c>
    </row>
    <row r="9" spans="1:95">
      <c r="A9" s="57"/>
      <c r="B9" s="6">
        <f>0.014*$AB$6*10</f>
        <v>424.24242424242431</v>
      </c>
      <c r="C9" s="6">
        <v>800</v>
      </c>
      <c r="D9" s="45"/>
      <c r="E9" s="45"/>
      <c r="F9" s="45"/>
      <c r="G9" s="49"/>
      <c r="H9" s="50"/>
      <c r="I9" s="46"/>
      <c r="J9" s="46"/>
      <c r="K9" s="46"/>
      <c r="L9" s="46"/>
      <c r="M9" s="46"/>
      <c r="N9" s="46"/>
      <c r="O9" s="46"/>
      <c r="P9" s="46"/>
      <c r="Q9" s="50"/>
      <c r="R9" s="46"/>
      <c r="S9" s="41"/>
      <c r="T9" s="55"/>
      <c r="U9" s="55"/>
      <c r="V9" s="55"/>
      <c r="W9" s="55"/>
      <c r="X9" s="55"/>
      <c r="Y9" s="55"/>
      <c r="Z9" s="55"/>
      <c r="AA9" s="55"/>
      <c r="AB9" s="41"/>
      <c r="AC9" s="41"/>
      <c r="AD9" s="41"/>
      <c r="AE9" s="35">
        <v>2.2255225382828401E-5</v>
      </c>
      <c r="AF9" s="35">
        <v>9.90665324782187E-6</v>
      </c>
      <c r="AG9" s="19">
        <v>3.3851454244352602E-6</v>
      </c>
      <c r="AH9" s="39"/>
      <c r="AI9" s="39"/>
      <c r="AJ9" s="67"/>
      <c r="AK9" s="67"/>
      <c r="AL9" s="67"/>
      <c r="AM9" s="67"/>
      <c r="AN9" s="67"/>
      <c r="AO9" s="67"/>
      <c r="AP9" s="67"/>
      <c r="AR9" s="21">
        <f t="shared" si="1"/>
        <v>0.97189400997045294</v>
      </c>
      <c r="AS9" s="21">
        <f t="shared" si="2"/>
        <v>0.43553151356859443</v>
      </c>
      <c r="AT9" s="21">
        <f t="shared" si="3"/>
        <v>0.60307973935587489</v>
      </c>
      <c r="AU9" s="36">
        <f t="shared" si="4"/>
        <v>0.66207687706569129</v>
      </c>
      <c r="AV9" s="21">
        <f t="shared" si="5"/>
        <v>2.6725821399606131</v>
      </c>
      <c r="AW9" s="21">
        <f t="shared" si="0"/>
        <v>0.60372657620828041</v>
      </c>
      <c r="AX9" s="21">
        <f t="shared" si="6"/>
        <v>3.2763087161688933</v>
      </c>
      <c r="AZ9" s="87">
        <f t="shared" si="7"/>
        <v>0.97189400997045294</v>
      </c>
      <c r="BA9" s="71"/>
      <c r="BB9" s="77">
        <f t="shared" si="8"/>
        <v>9.1500000000000005E-10</v>
      </c>
      <c r="BC9" s="78">
        <f t="shared" si="9"/>
        <v>4.7580000000000005E-10</v>
      </c>
      <c r="BD9" s="76">
        <f t="shared" si="10"/>
        <v>5.0118723362727164E-8</v>
      </c>
      <c r="BE9" s="78">
        <f t="shared" si="11"/>
        <v>11.173468963825741</v>
      </c>
      <c r="BF9" s="76">
        <f t="shared" si="12"/>
        <v>1.306218805300442E-6</v>
      </c>
      <c r="BG9" s="76">
        <f t="shared" si="13"/>
        <v>2.6488993386277787E-7</v>
      </c>
      <c r="BH9" s="78">
        <f t="shared" si="14"/>
        <v>6.2313365329882882E-9</v>
      </c>
      <c r="BI9" s="78">
        <f t="shared" si="15"/>
        <v>244.87789837600167</v>
      </c>
      <c r="BJ9" s="91">
        <f t="shared" si="16"/>
        <v>0.43553151356859443</v>
      </c>
      <c r="BL9" s="75">
        <f t="shared" si="17"/>
        <v>1.306218805300442E-6</v>
      </c>
      <c r="BM9" s="78">
        <f t="shared" si="18"/>
        <v>1.9868325465199702E-7</v>
      </c>
      <c r="BN9" s="78">
        <f t="shared" si="19"/>
        <v>4.6533327508703979E-8</v>
      </c>
      <c r="BO9" s="76">
        <f t="shared" si="20"/>
        <v>2.6488993386277787E-7</v>
      </c>
      <c r="BP9" s="78">
        <f t="shared" si="21"/>
        <v>1.4181388748910848E-6</v>
      </c>
      <c r="BQ9" s="78">
        <f t="shared" si="22"/>
        <v>2.1570692909070052E-7</v>
      </c>
      <c r="BR9" s="78">
        <f t="shared" si="23"/>
        <v>5.052041851667675E-8</v>
      </c>
      <c r="BS9" s="78">
        <f t="shared" si="24"/>
        <v>1.4181388748910848E-6</v>
      </c>
      <c r="BT9" s="78">
        <f t="shared" si="25"/>
        <v>339.08200560865822</v>
      </c>
      <c r="BU9" s="90">
        <f t="shared" si="26"/>
        <v>0.60307973935587489</v>
      </c>
      <c r="BW9" s="75">
        <f t="shared" si="27"/>
        <v>1.306218805300442E-6</v>
      </c>
      <c r="BX9" s="76">
        <f t="shared" si="28"/>
        <v>1.9868325465199702E-7</v>
      </c>
      <c r="BY9" s="76">
        <f t="shared" si="29"/>
        <v>4.6533327508703979E-8</v>
      </c>
      <c r="BZ9" s="76">
        <f t="shared" si="30"/>
        <v>2.6488993386277787E-7</v>
      </c>
      <c r="CA9" s="78">
        <f t="shared" si="31"/>
        <v>1.8300000000000001E-10</v>
      </c>
      <c r="CB9" s="76">
        <f t="shared" si="32"/>
        <v>9.5160000000000011E-11</v>
      </c>
      <c r="CC9" s="76">
        <f t="shared" si="33"/>
        <v>1E-8</v>
      </c>
      <c r="CD9" s="78">
        <f t="shared" si="34"/>
        <v>56</v>
      </c>
      <c r="CE9" s="78">
        <f t="shared" si="35"/>
        <v>5.5119600000000005E-9</v>
      </c>
      <c r="CF9" s="76">
        <f t="shared" si="36"/>
        <v>1.1236319254153158E+16</v>
      </c>
      <c r="CG9" s="78">
        <f t="shared" si="37"/>
        <v>0.81892597271483192</v>
      </c>
      <c r="CH9" s="76">
        <f t="shared" si="38"/>
        <v>5.2524494429321078E-7</v>
      </c>
      <c r="CI9" s="78">
        <f t="shared" si="39"/>
        <v>4.64621839882108E+25</v>
      </c>
      <c r="CJ9" s="78">
        <f t="shared" si="40"/>
        <v>-2.802959799744241E-25</v>
      </c>
      <c r="CK9" s="78">
        <f t="shared" si="41"/>
        <v>8.8704452986822732E-10</v>
      </c>
      <c r="CL9" s="76">
        <f t="shared" si="42"/>
        <v>7.4192126885161428E-15</v>
      </c>
      <c r="CM9" s="76">
        <f t="shared" si="43"/>
        <v>7.5809024678980928E-31</v>
      </c>
      <c r="CN9" s="78">
        <f t="shared" si="44"/>
        <v>372.25318758399879</v>
      </c>
      <c r="CO9" s="90">
        <f t="shared" si="45"/>
        <v>0.66207687706569129</v>
      </c>
      <c r="CQ9" s="86">
        <f t="shared" si="46"/>
        <v>2.6725821399606131</v>
      </c>
    </row>
    <row r="10" spans="1:95">
      <c r="A10" s="57"/>
      <c r="B10" s="6">
        <f>0.016*$AB$6*10</f>
        <v>484.84848484848493</v>
      </c>
      <c r="C10" s="6">
        <v>800</v>
      </c>
      <c r="D10" s="45"/>
      <c r="E10" s="45"/>
      <c r="F10" s="45"/>
      <c r="G10" s="49"/>
      <c r="H10" s="50"/>
      <c r="I10" s="46"/>
      <c r="J10" s="46"/>
      <c r="K10" s="46"/>
      <c r="L10" s="46"/>
      <c r="M10" s="46"/>
      <c r="N10" s="46"/>
      <c r="O10" s="46"/>
      <c r="P10" s="46"/>
      <c r="Q10" s="50"/>
      <c r="R10" s="46"/>
      <c r="S10" s="41"/>
      <c r="T10" s="55"/>
      <c r="U10" s="55"/>
      <c r="V10" s="55"/>
      <c r="W10" s="55"/>
      <c r="X10" s="55"/>
      <c r="Y10" s="55"/>
      <c r="Z10" s="55"/>
      <c r="AA10" s="56"/>
      <c r="AB10" s="41"/>
      <c r="AC10" s="41"/>
      <c r="AD10" s="41"/>
      <c r="AE10" s="35">
        <v>2.35832653027136E-5</v>
      </c>
      <c r="AF10" s="35">
        <v>1.14541243785222E-5</v>
      </c>
      <c r="AG10" s="19">
        <v>3.0520123240310899E-6</v>
      </c>
      <c r="AH10" s="39"/>
      <c r="AI10" s="39"/>
      <c r="AJ10" s="67"/>
      <c r="AK10" s="67"/>
      <c r="AL10" s="67"/>
      <c r="AM10" s="67"/>
      <c r="AN10" s="67"/>
      <c r="AO10" s="67"/>
      <c r="AP10" s="67"/>
      <c r="AR10" s="21">
        <f t="shared" si="1"/>
        <v>0.97189400997045294</v>
      </c>
      <c r="AS10" s="21">
        <f t="shared" si="2"/>
        <v>0.43863735729987141</v>
      </c>
      <c r="AT10" s="21">
        <f t="shared" si="3"/>
        <v>0.61172639772316317</v>
      </c>
      <c r="AU10" s="36">
        <f t="shared" si="4"/>
        <v>0.69678395647200297</v>
      </c>
      <c r="AV10" s="21">
        <f t="shared" si="5"/>
        <v>2.7190417214654903</v>
      </c>
      <c r="AW10" s="21">
        <f t="shared" si="0"/>
        <v>0.60372657620828041</v>
      </c>
      <c r="AX10" s="21">
        <f t="shared" si="6"/>
        <v>3.3227682976737709</v>
      </c>
      <c r="AZ10" s="87">
        <f t="shared" si="7"/>
        <v>0.97189400997045294</v>
      </c>
      <c r="BA10" s="71"/>
      <c r="BB10" s="77">
        <f t="shared" si="8"/>
        <v>9.1500000000000005E-10</v>
      </c>
      <c r="BC10" s="78">
        <f t="shared" si="9"/>
        <v>4.7580000000000005E-10</v>
      </c>
      <c r="BD10" s="76">
        <f t="shared" si="10"/>
        <v>5.0118723362727164E-8</v>
      </c>
      <c r="BE10" s="78">
        <f t="shared" si="11"/>
        <v>11.173468963825741</v>
      </c>
      <c r="BF10" s="76">
        <f t="shared" si="12"/>
        <v>1.3841650263655498E-6</v>
      </c>
      <c r="BG10" s="76">
        <f t="shared" si="13"/>
        <v>3.0626712908820818E-7</v>
      </c>
      <c r="BH10" s="78">
        <f t="shared" si="14"/>
        <v>6.2313365329882882E-9</v>
      </c>
      <c r="BI10" s="78">
        <f t="shared" si="15"/>
        <v>246.62416118800274</v>
      </c>
      <c r="BJ10" s="91">
        <f t="shared" si="16"/>
        <v>0.43863735729987141</v>
      </c>
      <c r="BL10" s="75">
        <f t="shared" si="17"/>
        <v>1.3841650263655498E-6</v>
      </c>
      <c r="BM10" s="78">
        <f t="shared" si="18"/>
        <v>1.7913078043838088E-7</v>
      </c>
      <c r="BN10" s="78">
        <f t="shared" si="19"/>
        <v>4.6533327508703979E-8</v>
      </c>
      <c r="BO10" s="76">
        <f t="shared" si="20"/>
        <v>3.0626712908820818E-7</v>
      </c>
      <c r="BP10" s="78">
        <f t="shared" si="21"/>
        <v>1.5027637216585135E-6</v>
      </c>
      <c r="BQ10" s="78">
        <f t="shared" si="22"/>
        <v>1.9447915035246925E-7</v>
      </c>
      <c r="BR10" s="78">
        <f t="shared" si="23"/>
        <v>5.052041851667675E-8</v>
      </c>
      <c r="BS10" s="78">
        <f t="shared" si="24"/>
        <v>1.5027637216585135E-6</v>
      </c>
      <c r="BT10" s="78">
        <f t="shared" si="25"/>
        <v>343.94359532832686</v>
      </c>
      <c r="BU10" s="90">
        <f t="shared" si="26"/>
        <v>0.61172639772316317</v>
      </c>
      <c r="BW10" s="75">
        <f t="shared" si="27"/>
        <v>1.3841650263655498E-6</v>
      </c>
      <c r="BX10" s="76">
        <f t="shared" si="28"/>
        <v>1.7913078043838088E-7</v>
      </c>
      <c r="BY10" s="76">
        <f t="shared" si="29"/>
        <v>4.6533327508703979E-8</v>
      </c>
      <c r="BZ10" s="76">
        <f t="shared" si="30"/>
        <v>3.0626712908820818E-7</v>
      </c>
      <c r="CA10" s="78">
        <f t="shared" si="31"/>
        <v>1.8300000000000001E-10</v>
      </c>
      <c r="CB10" s="76">
        <f t="shared" si="32"/>
        <v>9.5160000000000011E-11</v>
      </c>
      <c r="CC10" s="76">
        <f t="shared" si="33"/>
        <v>1E-8</v>
      </c>
      <c r="CD10" s="78">
        <f t="shared" si="34"/>
        <v>56</v>
      </c>
      <c r="CE10" s="78">
        <f t="shared" si="35"/>
        <v>5.5119600000000005E-9</v>
      </c>
      <c r="CF10" s="76">
        <f t="shared" si="36"/>
        <v>1.1236319254153158E+16</v>
      </c>
      <c r="CG10" s="78">
        <f t="shared" si="37"/>
        <v>0.84974914223082254</v>
      </c>
      <c r="CH10" s="76">
        <f t="shared" si="38"/>
        <v>4.8336426012971087E-7</v>
      </c>
      <c r="CI10" s="78">
        <f t="shared" si="39"/>
        <v>4.3845767885123712E+25</v>
      </c>
      <c r="CJ10" s="78">
        <f t="shared" si="40"/>
        <v>-2.9915592878205482E-25</v>
      </c>
      <c r="CK10" s="78">
        <f t="shared" si="41"/>
        <v>8.8704452986822732E-10</v>
      </c>
      <c r="CL10" s="76">
        <f t="shared" si="42"/>
        <v>8.2001068615569215E-15</v>
      </c>
      <c r="CM10" s="76">
        <f t="shared" si="43"/>
        <v>7.58960452451335E-31</v>
      </c>
      <c r="CN10" s="78">
        <f t="shared" si="44"/>
        <v>391.76726727515319</v>
      </c>
      <c r="CO10" s="90">
        <f t="shared" si="45"/>
        <v>0.69678395647200297</v>
      </c>
      <c r="CQ10" s="86">
        <f t="shared" si="46"/>
        <v>2.7190417214654903</v>
      </c>
    </row>
    <row r="11" spans="1:95">
      <c r="A11" s="57"/>
      <c r="B11" s="6">
        <f>0.018*$AB$6*10</f>
        <v>545.4545454545455</v>
      </c>
      <c r="C11" s="6">
        <v>800</v>
      </c>
      <c r="D11" s="45"/>
      <c r="E11" s="45"/>
      <c r="F11" s="45"/>
      <c r="G11" s="49"/>
      <c r="H11" s="50"/>
      <c r="I11" s="46"/>
      <c r="J11" s="46"/>
      <c r="K11" s="46"/>
      <c r="L11" s="46"/>
      <c r="M11" s="46"/>
      <c r="N11" s="46"/>
      <c r="O11" s="46"/>
      <c r="P11" s="46"/>
      <c r="Q11" s="50"/>
      <c r="R11" s="46"/>
      <c r="S11" s="41"/>
      <c r="T11" s="55"/>
      <c r="U11" s="55"/>
      <c r="V11" s="55"/>
      <c r="W11" s="55"/>
      <c r="X11" s="55"/>
      <c r="Y11" s="55"/>
      <c r="Z11" s="55"/>
      <c r="AA11" s="56"/>
      <c r="AB11" s="41"/>
      <c r="AC11" s="41"/>
      <c r="AD11" s="41"/>
      <c r="AE11" s="35">
        <v>2.4479946431984999E-5</v>
      </c>
      <c r="AF11" s="35">
        <v>1.30375680921994E-5</v>
      </c>
      <c r="AG11" s="19">
        <v>2.7333982972945799E-6</v>
      </c>
      <c r="AH11" s="39"/>
      <c r="AI11" s="39"/>
      <c r="AJ11" s="67"/>
      <c r="AK11" s="67"/>
      <c r="AL11" s="67"/>
      <c r="AM11" s="67"/>
      <c r="AN11" s="67"/>
      <c r="AO11" s="67"/>
      <c r="AP11" s="67"/>
      <c r="AR11" s="21">
        <f t="shared" si="1"/>
        <v>0.97189400997045294</v>
      </c>
      <c r="AS11" s="21">
        <f t="shared" si="2"/>
        <v>0.44222899184067793</v>
      </c>
      <c r="AT11" s="21">
        <f t="shared" si="3"/>
        <v>0.62172549604925209</v>
      </c>
      <c r="AU11" s="36">
        <f t="shared" si="4"/>
        <v>0.72704097559316383</v>
      </c>
      <c r="AV11" s="21">
        <f t="shared" si="5"/>
        <v>2.7628894734535465</v>
      </c>
      <c r="AW11" s="21">
        <f t="shared" si="0"/>
        <v>0.60372657620828041</v>
      </c>
      <c r="AX11" s="21">
        <f t="shared" si="6"/>
        <v>3.3666160496618271</v>
      </c>
      <c r="AZ11" s="87">
        <f t="shared" si="7"/>
        <v>0.97189400997045294</v>
      </c>
      <c r="BA11" s="71"/>
      <c r="BB11" s="77">
        <f t="shared" si="8"/>
        <v>9.1500000000000005E-10</v>
      </c>
      <c r="BC11" s="78">
        <f t="shared" si="9"/>
        <v>4.7580000000000005E-10</v>
      </c>
      <c r="BD11" s="76">
        <f t="shared" si="10"/>
        <v>5.0118723362727164E-8</v>
      </c>
      <c r="BE11" s="78">
        <f t="shared" si="11"/>
        <v>11.173468963825741</v>
      </c>
      <c r="BF11" s="76">
        <f t="shared" si="12"/>
        <v>1.4367936442862677E-6</v>
      </c>
      <c r="BG11" s="76">
        <f t="shared" si="13"/>
        <v>3.4860618044075297E-7</v>
      </c>
      <c r="BH11" s="78">
        <f t="shared" si="14"/>
        <v>6.2313365329882882E-9</v>
      </c>
      <c r="BI11" s="78">
        <f t="shared" si="15"/>
        <v>248.64356022271545</v>
      </c>
      <c r="BJ11" s="91">
        <f t="shared" si="16"/>
        <v>0.44222899184067793</v>
      </c>
      <c r="BL11" s="75">
        <f t="shared" si="17"/>
        <v>1.4367936442862677E-6</v>
      </c>
      <c r="BM11" s="78">
        <f t="shared" si="18"/>
        <v>1.6043046955872379E-7</v>
      </c>
      <c r="BN11" s="78">
        <f t="shared" si="19"/>
        <v>4.6533327508703979E-8</v>
      </c>
      <c r="BO11" s="76">
        <f t="shared" si="20"/>
        <v>3.4860618044075297E-7</v>
      </c>
      <c r="BP11" s="78">
        <f t="shared" si="21"/>
        <v>1.5599016901996978E-6</v>
      </c>
      <c r="BQ11" s="78">
        <f t="shared" si="22"/>
        <v>1.7417655041792716E-7</v>
      </c>
      <c r="BR11" s="78">
        <f t="shared" si="23"/>
        <v>5.052041851667675E-8</v>
      </c>
      <c r="BS11" s="78">
        <f t="shared" si="24"/>
        <v>1.5599016901996978E-6</v>
      </c>
      <c r="BT11" s="78">
        <f t="shared" si="25"/>
        <v>349.56559536153924</v>
      </c>
      <c r="BU11" s="90">
        <f t="shared" si="26"/>
        <v>0.62172549604925209</v>
      </c>
      <c r="BW11" s="75">
        <f t="shared" si="27"/>
        <v>1.4367936442862677E-6</v>
      </c>
      <c r="BX11" s="76">
        <f t="shared" si="28"/>
        <v>1.6043046955872379E-7</v>
      </c>
      <c r="BY11" s="76">
        <f t="shared" si="29"/>
        <v>4.6533327508703979E-8</v>
      </c>
      <c r="BZ11" s="76">
        <f t="shared" si="30"/>
        <v>3.4860618044075297E-7</v>
      </c>
      <c r="CA11" s="78">
        <f t="shared" si="31"/>
        <v>1.8300000000000001E-10</v>
      </c>
      <c r="CB11" s="76">
        <f t="shared" si="32"/>
        <v>9.5160000000000011E-11</v>
      </c>
      <c r="CC11" s="76">
        <f t="shared" si="33"/>
        <v>1E-8</v>
      </c>
      <c r="CD11" s="78">
        <f t="shared" si="34"/>
        <v>56</v>
      </c>
      <c r="CE11" s="78">
        <f t="shared" si="35"/>
        <v>5.5119600000000005E-9</v>
      </c>
      <c r="CF11" s="76">
        <f t="shared" si="36"/>
        <v>1.1236319254153158E+16</v>
      </c>
      <c r="CG11" s="78">
        <f t="shared" si="37"/>
        <v>0.8676582166729343</v>
      </c>
      <c r="CH11" s="76">
        <f t="shared" si="38"/>
        <v>4.4330887863917908E-7</v>
      </c>
      <c r="CI11" s="78">
        <f t="shared" si="39"/>
        <v>4.223973199079531E+25</v>
      </c>
      <c r="CJ11" s="78">
        <f t="shared" si="40"/>
        <v>-3.1495547878258339E-25</v>
      </c>
      <c r="CK11" s="78">
        <f t="shared" si="41"/>
        <v>8.8704452986822732E-10</v>
      </c>
      <c r="CL11" s="76">
        <f t="shared" si="42"/>
        <v>8.8384635409911917E-15</v>
      </c>
      <c r="CM11" s="76">
        <f t="shared" si="43"/>
        <v>7.6250567598848705E-31</v>
      </c>
      <c r="CN11" s="78">
        <f t="shared" si="44"/>
        <v>408.77929745593923</v>
      </c>
      <c r="CO11" s="90">
        <f t="shared" si="45"/>
        <v>0.72704097559316383</v>
      </c>
      <c r="CQ11" s="86">
        <f t="shared" si="46"/>
        <v>2.7628894734535465</v>
      </c>
    </row>
    <row r="12" spans="1:95">
      <c r="A12" s="57"/>
      <c r="B12" s="6">
        <f>0.02*$AB$6*10</f>
        <v>606.06060606060612</v>
      </c>
      <c r="C12" s="6">
        <v>800</v>
      </c>
      <c r="D12" s="45"/>
      <c r="E12" s="45"/>
      <c r="F12" s="45"/>
      <c r="G12" s="49"/>
      <c r="H12" s="50"/>
      <c r="I12" s="46"/>
      <c r="J12" s="46"/>
      <c r="K12" s="46"/>
      <c r="L12" s="46"/>
      <c r="M12" s="46"/>
      <c r="N12" s="46"/>
      <c r="O12" s="46"/>
      <c r="P12" s="46"/>
      <c r="Q12" s="50"/>
      <c r="R12" s="46"/>
      <c r="S12" s="41"/>
      <c r="T12" s="55"/>
      <c r="U12" s="55"/>
      <c r="V12" s="55"/>
      <c r="W12" s="55"/>
      <c r="X12" s="55"/>
      <c r="Y12" s="55"/>
      <c r="Z12" s="55"/>
      <c r="AA12" s="56"/>
      <c r="AB12" s="41"/>
      <c r="AC12" s="41"/>
      <c r="AD12" s="41"/>
      <c r="AE12" s="35">
        <v>2.52032813927666E-5</v>
      </c>
      <c r="AF12" s="35">
        <v>1.46364990309185E-5</v>
      </c>
      <c r="AG12" s="19">
        <v>2.4693175584358198E-6</v>
      </c>
      <c r="AH12" s="39"/>
      <c r="AI12" s="39"/>
      <c r="AJ12" s="67"/>
      <c r="AK12" s="67"/>
      <c r="AL12" s="67"/>
      <c r="AM12" s="67"/>
      <c r="AN12" s="67"/>
      <c r="AO12" s="67"/>
      <c r="AP12" s="67"/>
      <c r="AR12" s="21">
        <f t="shared" si="1"/>
        <v>0.97189400997045294</v>
      </c>
      <c r="AS12" s="21">
        <f t="shared" si="2"/>
        <v>0.44591739035230976</v>
      </c>
      <c r="AT12" s="21">
        <f t="shared" si="3"/>
        <v>0.63199398494047654</v>
      </c>
      <c r="AU12" s="36">
        <f t="shared" si="4"/>
        <v>0.75307086063371442</v>
      </c>
      <c r="AV12" s="21">
        <f t="shared" si="5"/>
        <v>2.8028762458969538</v>
      </c>
      <c r="AW12" s="21">
        <f t="shared" si="0"/>
        <v>0.60372657620828041</v>
      </c>
      <c r="AX12" s="21">
        <f t="shared" si="6"/>
        <v>3.406602822105234</v>
      </c>
      <c r="AZ12" s="87">
        <f t="shared" si="7"/>
        <v>0.97189400997045294</v>
      </c>
      <c r="BA12" s="71"/>
      <c r="BB12" s="77">
        <f t="shared" si="8"/>
        <v>9.1500000000000005E-10</v>
      </c>
      <c r="BC12" s="78">
        <f t="shared" si="9"/>
        <v>4.7580000000000005E-10</v>
      </c>
      <c r="BD12" s="76">
        <f t="shared" si="10"/>
        <v>5.0118723362727164E-8</v>
      </c>
      <c r="BE12" s="78">
        <f t="shared" si="11"/>
        <v>11.173468963825741</v>
      </c>
      <c r="BF12" s="76">
        <f t="shared" si="12"/>
        <v>1.4792481111384972E-6</v>
      </c>
      <c r="BG12" s="76">
        <f t="shared" si="13"/>
        <v>3.9135933834517176E-7</v>
      </c>
      <c r="BH12" s="78">
        <f t="shared" si="14"/>
        <v>6.2313365329882882E-9</v>
      </c>
      <c r="BI12" s="78">
        <f t="shared" si="15"/>
        <v>250.71736486775939</v>
      </c>
      <c r="BJ12" s="91">
        <f t="shared" si="16"/>
        <v>0.44591739035230976</v>
      </c>
      <c r="BL12" s="75">
        <f t="shared" si="17"/>
        <v>1.4792481111384972E-6</v>
      </c>
      <c r="BM12" s="78">
        <f t="shared" si="18"/>
        <v>1.4493086345358405E-7</v>
      </c>
      <c r="BN12" s="78">
        <f t="shared" si="19"/>
        <v>4.6533327508703979E-8</v>
      </c>
      <c r="BO12" s="76">
        <f t="shared" si="20"/>
        <v>3.9135933834517176E-7</v>
      </c>
      <c r="BP12" s="78">
        <f t="shared" si="21"/>
        <v>1.60599376115413E-6</v>
      </c>
      <c r="BQ12" s="78">
        <f t="shared" si="22"/>
        <v>1.573488995879101E-7</v>
      </c>
      <c r="BR12" s="78">
        <f t="shared" si="23"/>
        <v>5.052041851667675E-8</v>
      </c>
      <c r="BS12" s="78">
        <f t="shared" si="24"/>
        <v>1.60599376115413E-6</v>
      </c>
      <c r="BT12" s="78">
        <f t="shared" si="25"/>
        <v>355.3390604285724</v>
      </c>
      <c r="BU12" s="90">
        <f t="shared" si="26"/>
        <v>0.63199398494047654</v>
      </c>
      <c r="BW12" s="75">
        <f t="shared" si="27"/>
        <v>1.4792481111384972E-6</v>
      </c>
      <c r="BX12" s="76">
        <f t="shared" si="28"/>
        <v>1.4493086345358405E-7</v>
      </c>
      <c r="BY12" s="76">
        <f t="shared" si="29"/>
        <v>4.6533327508703979E-8</v>
      </c>
      <c r="BZ12" s="76">
        <f t="shared" si="30"/>
        <v>3.9135933834517176E-7</v>
      </c>
      <c r="CA12" s="78">
        <f t="shared" si="31"/>
        <v>1.8300000000000001E-10</v>
      </c>
      <c r="CB12" s="76">
        <f t="shared" si="32"/>
        <v>9.5160000000000011E-11</v>
      </c>
      <c r="CC12" s="76">
        <f t="shared" si="33"/>
        <v>1E-8</v>
      </c>
      <c r="CD12" s="78">
        <f t="shared" si="34"/>
        <v>56</v>
      </c>
      <c r="CE12" s="78">
        <f t="shared" si="35"/>
        <v>5.5119600000000005E-9</v>
      </c>
      <c r="CF12" s="76">
        <f t="shared" si="36"/>
        <v>1.1236319254153158E+16</v>
      </c>
      <c r="CG12" s="78">
        <f t="shared" si="37"/>
        <v>0.88188635387742775</v>
      </c>
      <c r="CH12" s="76">
        <f t="shared" si="38"/>
        <v>4.1010928963289547E-7</v>
      </c>
      <c r="CI12" s="78">
        <f t="shared" si="39"/>
        <v>4.1027450367349405E+25</v>
      </c>
      <c r="CJ12" s="78">
        <f t="shared" si="40"/>
        <v>-3.2991974397639518E-25</v>
      </c>
      <c r="CK12" s="78">
        <f t="shared" si="41"/>
        <v>8.8704452986822732E-10</v>
      </c>
      <c r="CL12" s="76">
        <f t="shared" si="42"/>
        <v>9.4032020332403273E-15</v>
      </c>
      <c r="CM12" s="76">
        <f t="shared" si="43"/>
        <v>7.7296006288928743E-31</v>
      </c>
      <c r="CN12" s="78">
        <f t="shared" si="44"/>
        <v>423.41461854090835</v>
      </c>
      <c r="CO12" s="90">
        <f t="shared" si="45"/>
        <v>0.75307086063371442</v>
      </c>
      <c r="CQ12" s="86">
        <f t="shared" si="46"/>
        <v>2.8028762458969538</v>
      </c>
    </row>
    <row r="13" spans="1:95">
      <c r="A13" s="57"/>
      <c r="B13" s="6">
        <f>0.024*$AB$6*10</f>
        <v>727.27272727272737</v>
      </c>
      <c r="C13" s="6">
        <v>800</v>
      </c>
      <c r="D13" s="45"/>
      <c r="E13" s="45"/>
      <c r="F13" s="45"/>
      <c r="G13" s="49"/>
      <c r="H13" s="50"/>
      <c r="I13" s="46"/>
      <c r="J13" s="46"/>
      <c r="K13" s="46"/>
      <c r="L13" s="46"/>
      <c r="M13" s="46"/>
      <c r="N13" s="46"/>
      <c r="O13" s="46"/>
      <c r="P13" s="46"/>
      <c r="Q13" s="50"/>
      <c r="R13" s="46"/>
      <c r="S13" s="41"/>
      <c r="T13" s="55"/>
      <c r="U13" s="55"/>
      <c r="V13" s="55"/>
      <c r="W13" s="55"/>
      <c r="X13" s="55"/>
      <c r="Y13" s="55"/>
      <c r="Z13" s="55"/>
      <c r="AA13" s="56"/>
      <c r="AB13" s="41"/>
      <c r="AC13" s="41"/>
      <c r="AD13" s="41"/>
      <c r="AE13" s="35">
        <v>2.6308018005813999E-5</v>
      </c>
      <c r="AF13" s="35">
        <v>1.7861495362433799E-5</v>
      </c>
      <c r="AG13" s="19">
        <v>2.0645320712055299E-6</v>
      </c>
      <c r="AH13" s="39"/>
      <c r="AI13" s="39"/>
      <c r="AJ13" s="67"/>
      <c r="AK13" s="67"/>
      <c r="AL13" s="67"/>
      <c r="AM13" s="67"/>
      <c r="AN13" s="67"/>
      <c r="AO13" s="67"/>
      <c r="AP13" s="67"/>
      <c r="AR13" s="21">
        <f t="shared" si="1"/>
        <v>0.97189400997045294</v>
      </c>
      <c r="AS13" s="21">
        <f t="shared" si="2"/>
        <v>0.45343871295095162</v>
      </c>
      <c r="AT13" s="21">
        <f t="shared" si="3"/>
        <v>0.65293332143242611</v>
      </c>
      <c r="AU13" s="36">
        <f t="shared" si="4"/>
        <v>0.79688910565503368</v>
      </c>
      <c r="AV13" s="21">
        <f t="shared" si="5"/>
        <v>2.8751551500088643</v>
      </c>
      <c r="AW13" s="21">
        <f t="shared" si="0"/>
        <v>0.60372657620828041</v>
      </c>
      <c r="AX13" s="21">
        <f t="shared" si="6"/>
        <v>3.4788817262171445</v>
      </c>
      <c r="AZ13" s="87">
        <f t="shared" si="7"/>
        <v>0.97189400997045294</v>
      </c>
      <c r="BA13" s="71"/>
      <c r="BB13" s="77">
        <f t="shared" si="8"/>
        <v>9.1500000000000005E-10</v>
      </c>
      <c r="BC13" s="78">
        <f t="shared" si="9"/>
        <v>4.7580000000000005E-10</v>
      </c>
      <c r="BD13" s="76">
        <f t="shared" si="10"/>
        <v>5.0118723362727164E-8</v>
      </c>
      <c r="BE13" s="78">
        <f t="shared" si="11"/>
        <v>11.173468963825741</v>
      </c>
      <c r="BF13" s="76">
        <f t="shared" si="12"/>
        <v>1.544088062837204E-6</v>
      </c>
      <c r="BG13" s="76">
        <f t="shared" si="13"/>
        <v>4.7759119118110434E-7</v>
      </c>
      <c r="BH13" s="78">
        <f t="shared" si="14"/>
        <v>6.2313365329882882E-9</v>
      </c>
      <c r="BI13" s="78">
        <f t="shared" si="15"/>
        <v>254.9462337637716</v>
      </c>
      <c r="BJ13" s="91">
        <f t="shared" si="16"/>
        <v>0.45343871295095162</v>
      </c>
      <c r="BL13" s="75">
        <f t="shared" si="17"/>
        <v>1.544088062837204E-6</v>
      </c>
      <c r="BM13" s="78">
        <f t="shared" si="18"/>
        <v>1.2117291868161743E-7</v>
      </c>
      <c r="BN13" s="78">
        <f t="shared" si="19"/>
        <v>4.6533327508703979E-8</v>
      </c>
      <c r="BO13" s="76">
        <f t="shared" si="20"/>
        <v>4.7759119118110434E-7</v>
      </c>
      <c r="BP13" s="78">
        <f t="shared" si="21"/>
        <v>1.6763893608628988E-6</v>
      </c>
      <c r="BQ13" s="78">
        <f t="shared" si="22"/>
        <v>1.3155531513488901E-7</v>
      </c>
      <c r="BR13" s="78">
        <f t="shared" si="23"/>
        <v>5.052041851667675E-8</v>
      </c>
      <c r="BS13" s="78">
        <f t="shared" si="24"/>
        <v>1.6763893608628988E-6</v>
      </c>
      <c r="BT13" s="78">
        <f t="shared" si="25"/>
        <v>367.11221702870654</v>
      </c>
      <c r="BU13" s="90">
        <f t="shared" si="26"/>
        <v>0.65293332143242611</v>
      </c>
      <c r="BW13" s="75">
        <f t="shared" si="27"/>
        <v>1.544088062837204E-6</v>
      </c>
      <c r="BX13" s="76">
        <f t="shared" si="28"/>
        <v>1.2117291868161743E-7</v>
      </c>
      <c r="BY13" s="76">
        <f t="shared" si="29"/>
        <v>4.6533327508703979E-8</v>
      </c>
      <c r="BZ13" s="76">
        <f t="shared" si="30"/>
        <v>4.7759119118110434E-7</v>
      </c>
      <c r="CA13" s="78">
        <f t="shared" si="31"/>
        <v>1.8300000000000001E-10</v>
      </c>
      <c r="CB13" s="76">
        <f t="shared" si="32"/>
        <v>9.5160000000000011E-11</v>
      </c>
      <c r="CC13" s="76">
        <f t="shared" si="33"/>
        <v>1E-8</v>
      </c>
      <c r="CD13" s="78">
        <f t="shared" si="34"/>
        <v>56</v>
      </c>
      <c r="CE13" s="78">
        <f t="shared" si="35"/>
        <v>5.5119600000000005E-9</v>
      </c>
      <c r="CF13" s="76">
        <f t="shared" si="36"/>
        <v>1.1236319254153158E+16</v>
      </c>
      <c r="CG13" s="78">
        <f t="shared" si="37"/>
        <v>0.90357151250888934</v>
      </c>
      <c r="CH13" s="76">
        <f t="shared" si="38"/>
        <v>3.5922064144965433E-7</v>
      </c>
      <c r="CI13" s="78">
        <f t="shared" si="39"/>
        <v>3.9304609575968639E+25</v>
      </c>
      <c r="CJ13" s="78">
        <f t="shared" si="40"/>
        <v>-3.583021784814942E-25</v>
      </c>
      <c r="CK13" s="78">
        <f t="shared" si="41"/>
        <v>8.8704452986822732E-10</v>
      </c>
      <c r="CL13" s="76">
        <f t="shared" si="42"/>
        <v>1.0381608172768157E-14</v>
      </c>
      <c r="CM13" s="76">
        <f t="shared" si="43"/>
        <v>8.0929277083713881E-31</v>
      </c>
      <c r="CN13" s="78">
        <f t="shared" si="44"/>
        <v>448.05145747691665</v>
      </c>
      <c r="CO13" s="90">
        <f t="shared" si="45"/>
        <v>0.79688910565503368</v>
      </c>
      <c r="CQ13" s="86">
        <f t="shared" si="46"/>
        <v>2.8751551500088643</v>
      </c>
    </row>
    <row r="14" spans="1:95">
      <c r="A14" s="57"/>
      <c r="B14" s="6">
        <f>0.028*$AB$6*10</f>
        <v>848.48484848484861</v>
      </c>
      <c r="C14" s="6">
        <v>800</v>
      </c>
      <c r="D14" s="45"/>
      <c r="E14" s="45"/>
      <c r="F14" s="45"/>
      <c r="G14" s="49"/>
      <c r="H14" s="50"/>
      <c r="I14" s="46"/>
      <c r="J14" s="46"/>
      <c r="K14" s="46"/>
      <c r="L14" s="46"/>
      <c r="M14" s="46"/>
      <c r="N14" s="46"/>
      <c r="O14" s="46"/>
      <c r="P14" s="46"/>
      <c r="Q14" s="50"/>
      <c r="R14" s="46"/>
      <c r="S14" s="41"/>
      <c r="T14" s="55"/>
      <c r="U14" s="55"/>
      <c r="V14" s="55"/>
      <c r="W14" s="55"/>
      <c r="X14" s="55"/>
      <c r="Y14" s="55"/>
      <c r="Z14" s="55"/>
      <c r="AA14" s="56"/>
      <c r="AB14" s="41"/>
      <c r="AC14" s="41"/>
      <c r="AD14" s="41"/>
      <c r="AE14" s="35">
        <v>2.71089996435399E-5</v>
      </c>
      <c r="AF14" s="35">
        <v>2.1110555058226699E-5</v>
      </c>
      <c r="AG14" s="19">
        <v>1.7712797347990501E-6</v>
      </c>
      <c r="AH14" s="39"/>
      <c r="AI14" s="39"/>
      <c r="AJ14" s="67"/>
      <c r="AK14" s="67"/>
      <c r="AL14" s="67"/>
      <c r="AM14" s="67"/>
      <c r="AN14" s="67"/>
      <c r="AO14" s="67"/>
      <c r="AP14" s="67"/>
      <c r="AR14" s="21">
        <f t="shared" si="1"/>
        <v>0.97189400997045294</v>
      </c>
      <c r="AS14" s="21">
        <f t="shared" si="2"/>
        <v>0.46108195876954722</v>
      </c>
      <c r="AT14" s="21">
        <f t="shared" si="3"/>
        <v>0.67421209175337449</v>
      </c>
      <c r="AU14" s="36">
        <f t="shared" si="4"/>
        <v>0.83405769768909221</v>
      </c>
      <c r="AV14" s="21">
        <f t="shared" si="5"/>
        <v>2.9412457581824669</v>
      </c>
      <c r="AW14" s="21">
        <f t="shared" si="0"/>
        <v>0.60372657620828041</v>
      </c>
      <c r="AX14" s="21">
        <f t="shared" si="6"/>
        <v>3.5449723343907475</v>
      </c>
      <c r="AZ14" s="87">
        <f t="shared" si="7"/>
        <v>0.97189400997045294</v>
      </c>
      <c r="BA14" s="71"/>
      <c r="BB14" s="77">
        <f t="shared" si="8"/>
        <v>9.1500000000000005E-10</v>
      </c>
      <c r="BC14" s="78">
        <f t="shared" si="9"/>
        <v>4.7580000000000005E-10</v>
      </c>
      <c r="BD14" s="76">
        <f t="shared" si="10"/>
        <v>5.0118723362727164E-8</v>
      </c>
      <c r="BE14" s="78">
        <f t="shared" si="11"/>
        <v>11.173468963825741</v>
      </c>
      <c r="BF14" s="76">
        <f t="shared" si="12"/>
        <v>1.5910998211950943E-6</v>
      </c>
      <c r="BG14" s="76">
        <f t="shared" si="13"/>
        <v>5.6446646443486678E-7</v>
      </c>
      <c r="BH14" s="78">
        <f t="shared" si="14"/>
        <v>6.2313365329882882E-9</v>
      </c>
      <c r="BI14" s="78">
        <f t="shared" si="15"/>
        <v>259.24365407554905</v>
      </c>
      <c r="BJ14" s="91">
        <f t="shared" si="16"/>
        <v>0.46108195876954722</v>
      </c>
      <c r="BL14" s="75">
        <f t="shared" si="17"/>
        <v>1.5910998211950943E-6</v>
      </c>
      <c r="BM14" s="78">
        <f t="shared" si="18"/>
        <v>1.0396115335804588E-7</v>
      </c>
      <c r="BN14" s="78">
        <f t="shared" si="19"/>
        <v>4.6533327508703979E-8</v>
      </c>
      <c r="BO14" s="76">
        <f t="shared" si="20"/>
        <v>5.6446646443486678E-7</v>
      </c>
      <c r="BP14" s="78">
        <f t="shared" si="21"/>
        <v>1.727429203371502E-6</v>
      </c>
      <c r="BQ14" s="78">
        <f t="shared" si="22"/>
        <v>1.1286880303460965E-7</v>
      </c>
      <c r="BR14" s="78">
        <f t="shared" si="23"/>
        <v>5.052041851667675E-8</v>
      </c>
      <c r="BS14" s="78">
        <f t="shared" si="24"/>
        <v>1.727429203371502E-6</v>
      </c>
      <c r="BT14" s="78">
        <f t="shared" si="25"/>
        <v>379.07622053679898</v>
      </c>
      <c r="BU14" s="90">
        <f t="shared" si="26"/>
        <v>0.67421209175337449</v>
      </c>
      <c r="BW14" s="75">
        <f t="shared" si="27"/>
        <v>1.5910998211950943E-6</v>
      </c>
      <c r="BX14" s="76">
        <f t="shared" si="28"/>
        <v>1.0396115335804588E-7</v>
      </c>
      <c r="BY14" s="76">
        <f t="shared" si="29"/>
        <v>4.6533327508703979E-8</v>
      </c>
      <c r="BZ14" s="76">
        <f t="shared" si="30"/>
        <v>5.6446646443486678E-7</v>
      </c>
      <c r="CA14" s="78">
        <f t="shared" si="31"/>
        <v>1.8300000000000001E-10</v>
      </c>
      <c r="CB14" s="76">
        <f t="shared" si="32"/>
        <v>9.5160000000000011E-11</v>
      </c>
      <c r="CC14" s="76">
        <f t="shared" si="33"/>
        <v>1E-8</v>
      </c>
      <c r="CD14" s="78">
        <f t="shared" si="34"/>
        <v>56</v>
      </c>
      <c r="CE14" s="78">
        <f t="shared" si="35"/>
        <v>5.5119600000000005E-9</v>
      </c>
      <c r="CF14" s="76">
        <f t="shared" si="36"/>
        <v>1.1236319254153158E+16</v>
      </c>
      <c r="CG14" s="78">
        <f t="shared" si="37"/>
        <v>0.91930145426460808</v>
      </c>
      <c r="CH14" s="76">
        <f t="shared" si="38"/>
        <v>3.2235367006089801E-7</v>
      </c>
      <c r="CI14" s="78">
        <f t="shared" si="39"/>
        <v>3.8143287839191139E+25</v>
      </c>
      <c r="CJ14" s="78">
        <f t="shared" si="40"/>
        <v>-3.8532622151685018E-25</v>
      </c>
      <c r="CK14" s="78">
        <f t="shared" si="41"/>
        <v>8.8704452986822732E-10</v>
      </c>
      <c r="CL14" s="76">
        <f t="shared" si="42"/>
        <v>1.122515066781079E-14</v>
      </c>
      <c r="CM14" s="76">
        <f t="shared" si="43"/>
        <v>8.5955663552887987E-31</v>
      </c>
      <c r="CN14" s="78">
        <f t="shared" si="44"/>
        <v>468.94952436608048</v>
      </c>
      <c r="CO14" s="90">
        <f t="shared" si="45"/>
        <v>0.83405769768909221</v>
      </c>
      <c r="CQ14" s="86">
        <f t="shared" si="46"/>
        <v>2.9412457581824669</v>
      </c>
    </row>
    <row r="15" spans="1:95" ht="15" customHeight="1">
      <c r="A15" s="58"/>
      <c r="B15" s="6">
        <f>0.033*$AB$6*10</f>
        <v>1000.0000000000001</v>
      </c>
      <c r="C15" s="6">
        <v>800</v>
      </c>
      <c r="D15" s="46"/>
      <c r="E15" s="46"/>
      <c r="F15" s="46"/>
      <c r="G15" s="50"/>
      <c r="H15" s="50"/>
      <c r="I15" s="46"/>
      <c r="J15" s="46"/>
      <c r="K15" s="46"/>
      <c r="L15" s="46"/>
      <c r="M15" s="46"/>
      <c r="N15" s="46"/>
      <c r="O15" s="46"/>
      <c r="P15" s="46"/>
      <c r="Q15" s="50"/>
      <c r="R15" s="46"/>
      <c r="S15" s="41"/>
      <c r="T15" s="55"/>
      <c r="U15" s="55"/>
      <c r="V15" s="55"/>
      <c r="W15" s="55"/>
      <c r="X15" s="55"/>
      <c r="Y15" s="55"/>
      <c r="Z15" s="55"/>
      <c r="AA15" s="56"/>
      <c r="AB15" s="41"/>
      <c r="AC15" s="41"/>
      <c r="AD15" s="41"/>
      <c r="AE15" s="35">
        <v>2.78433125513752E-5</v>
      </c>
      <c r="AF15" s="35">
        <v>2.5192920517776599E-5</v>
      </c>
      <c r="AG15" s="19">
        <v>1.50266516706589E-6</v>
      </c>
      <c r="AH15" s="39"/>
      <c r="AI15" s="39"/>
      <c r="AJ15" s="67"/>
      <c r="AK15" s="67"/>
      <c r="AL15" s="67"/>
      <c r="AM15" s="67"/>
      <c r="AN15" s="67"/>
      <c r="AO15" s="67"/>
      <c r="AP15" s="67"/>
      <c r="AR15" s="21">
        <f>AZ15</f>
        <v>0.97189400997045294</v>
      </c>
      <c r="AS15" s="21">
        <f t="shared" si="2"/>
        <v>0.47073885083270628</v>
      </c>
      <c r="AT15" s="21">
        <f t="shared" si="3"/>
        <v>0.70109684635935821</v>
      </c>
      <c r="AU15" s="36">
        <f t="shared" si="4"/>
        <v>0.87526038372891379</v>
      </c>
      <c r="AV15" s="21">
        <f t="shared" si="5"/>
        <v>3.0189900908914313</v>
      </c>
      <c r="AW15" s="21">
        <f t="shared" si="0"/>
        <v>0.60372657620828041</v>
      </c>
      <c r="AX15" s="21">
        <f t="shared" si="6"/>
        <v>3.622716667099712</v>
      </c>
      <c r="AZ15" s="87">
        <f t="shared" si="7"/>
        <v>0.97189400997045294</v>
      </c>
      <c r="BA15" s="71"/>
      <c r="BB15" s="77">
        <f t="shared" si="8"/>
        <v>9.1500000000000005E-10</v>
      </c>
      <c r="BC15" s="78">
        <f t="shared" si="9"/>
        <v>4.7580000000000005E-10</v>
      </c>
      <c r="BD15" s="76">
        <f t="shared" si="10"/>
        <v>5.0118723362727164E-8</v>
      </c>
      <c r="BE15" s="78">
        <f t="shared" si="11"/>
        <v>11.173468963825741</v>
      </c>
      <c r="BF15" s="76">
        <f t="shared" si="12"/>
        <v>1.6341986131727031E-6</v>
      </c>
      <c r="BG15" s="76">
        <f t="shared" si="13"/>
        <v>6.7362315837907238E-7</v>
      </c>
      <c r="BH15" s="78">
        <f t="shared" si="14"/>
        <v>6.2313365329882882E-9</v>
      </c>
      <c r="BI15" s="78">
        <f t="shared" si="15"/>
        <v>264.67324839788466</v>
      </c>
      <c r="BJ15" s="91">
        <f t="shared" si="16"/>
        <v>0.47073885083270628</v>
      </c>
      <c r="BL15" s="75">
        <f t="shared" si="17"/>
        <v>1.6341986131727031E-6</v>
      </c>
      <c r="BM15" s="78">
        <f t="shared" si="18"/>
        <v>8.819544468895169E-8</v>
      </c>
      <c r="BN15" s="78">
        <f t="shared" si="19"/>
        <v>4.6533327508703979E-8</v>
      </c>
      <c r="BO15" s="76">
        <f t="shared" si="20"/>
        <v>6.7362315837907238E-7</v>
      </c>
      <c r="BP15" s="78">
        <f t="shared" si="21"/>
        <v>1.7742208068274273E-6</v>
      </c>
      <c r="BQ15" s="78">
        <f t="shared" si="22"/>
        <v>9.5752249312427308E-8</v>
      </c>
      <c r="BR15" s="78">
        <f t="shared" si="23"/>
        <v>5.052041851667675E-8</v>
      </c>
      <c r="BS15" s="78">
        <f t="shared" si="24"/>
        <v>1.7742208068274273E-6</v>
      </c>
      <c r="BT15" s="78">
        <f t="shared" si="25"/>
        <v>394.19219263334162</v>
      </c>
      <c r="BU15" s="90">
        <f t="shared" si="26"/>
        <v>0.70109684635935821</v>
      </c>
      <c r="BW15" s="75">
        <f t="shared" si="27"/>
        <v>1.6341986131727031E-6</v>
      </c>
      <c r="BX15" s="76">
        <f t="shared" si="28"/>
        <v>8.819544468895169E-8</v>
      </c>
      <c r="BY15" s="76">
        <f t="shared" si="29"/>
        <v>4.6533327508703979E-8</v>
      </c>
      <c r="BZ15" s="76">
        <f t="shared" si="30"/>
        <v>6.7362315837907238E-7</v>
      </c>
      <c r="CA15" s="78">
        <f t="shared" si="31"/>
        <v>1.8300000000000001E-10</v>
      </c>
      <c r="CB15" s="76">
        <f t="shared" si="32"/>
        <v>9.5160000000000011E-11</v>
      </c>
      <c r="CC15" s="76">
        <f t="shared" si="33"/>
        <v>1E-8</v>
      </c>
      <c r="CD15" s="78">
        <f t="shared" si="34"/>
        <v>56</v>
      </c>
      <c r="CE15" s="78">
        <f t="shared" si="35"/>
        <v>5.5119600000000005E-9</v>
      </c>
      <c r="CF15" s="76">
        <f t="shared" si="36"/>
        <v>1.1236319254153158E+16</v>
      </c>
      <c r="CG15" s="78">
        <f t="shared" si="37"/>
        <v>0.93372923644401995</v>
      </c>
      <c r="CH15" s="76">
        <f t="shared" si="38"/>
        <v>2.8858409910172628E-7</v>
      </c>
      <c r="CI15" s="78">
        <f t="shared" si="39"/>
        <v>3.7137333229590925E+25</v>
      </c>
      <c r="CJ15" s="78">
        <f t="shared" si="40"/>
        <v>-4.179114625104299E-25</v>
      </c>
      <c r="CK15" s="78">
        <f t="shared" si="41"/>
        <v>8.8704452986822732E-10</v>
      </c>
      <c r="CL15" s="76">
        <f t="shared" si="42"/>
        <v>1.2161075346679125E-14</v>
      </c>
      <c r="CM15" s="76">
        <f t="shared" si="43"/>
        <v>9.3461869604095457E-31</v>
      </c>
      <c r="CN15" s="78">
        <f t="shared" si="44"/>
        <v>492.11576343385036</v>
      </c>
      <c r="CO15" s="90">
        <f t="shared" si="45"/>
        <v>0.87526038372891379</v>
      </c>
      <c r="CQ15" s="86">
        <f t="shared" si="46"/>
        <v>3.0189900908914313</v>
      </c>
    </row>
    <row r="16" spans="1:95" ht="15" customHeight="1">
      <c r="A16" s="58"/>
      <c r="B16" s="6">
        <f>0.04*$AB$6*10</f>
        <v>1212.1212121212122</v>
      </c>
      <c r="C16" s="6">
        <v>800</v>
      </c>
      <c r="D16" s="46"/>
      <c r="E16" s="46"/>
      <c r="F16" s="46"/>
      <c r="G16" s="50"/>
      <c r="H16" s="50"/>
      <c r="I16" s="46"/>
      <c r="J16" s="46"/>
      <c r="K16" s="46"/>
      <c r="L16" s="46"/>
      <c r="M16" s="46"/>
      <c r="N16" s="46"/>
      <c r="O16" s="46"/>
      <c r="P16" s="46"/>
      <c r="Q16" s="50"/>
      <c r="R16" s="46"/>
      <c r="S16" s="41"/>
      <c r="T16" s="55"/>
      <c r="U16" s="55"/>
      <c r="V16" s="55"/>
      <c r="W16" s="55"/>
      <c r="X16" s="55"/>
      <c r="Y16" s="55"/>
      <c r="Z16" s="55"/>
      <c r="AA16" s="56"/>
      <c r="AB16" s="41"/>
      <c r="AC16" s="41"/>
      <c r="AD16" s="41"/>
      <c r="AE16" s="35">
        <v>2.8566605087961599E-5</v>
      </c>
      <c r="AF16" s="35">
        <v>3.0932051738960197E-5</v>
      </c>
      <c r="AG16" s="19">
        <v>1.23834082981691E-6</v>
      </c>
      <c r="AH16" s="39"/>
      <c r="AI16" s="39"/>
      <c r="AJ16" s="67"/>
      <c r="AK16" s="67"/>
      <c r="AL16" s="67"/>
      <c r="AM16" s="67"/>
      <c r="AN16" s="67"/>
      <c r="AO16" s="67"/>
      <c r="AP16" s="67"/>
      <c r="AR16" s="21">
        <f t="shared" si="1"/>
        <v>0.97189400997045294</v>
      </c>
      <c r="AS16" s="21">
        <f t="shared" si="2"/>
        <v>0.4843718279396283</v>
      </c>
      <c r="AT16" s="21">
        <f t="shared" si="3"/>
        <v>0.7390510081819659</v>
      </c>
      <c r="AU16" s="36">
        <f t="shared" si="4"/>
        <v>0.92744191638829354</v>
      </c>
      <c r="AV16" s="21">
        <f t="shared" si="5"/>
        <v>3.1227587624803408</v>
      </c>
      <c r="AW16" s="21">
        <f t="shared" si="0"/>
        <v>0.60372657620828041</v>
      </c>
      <c r="AX16" s="21">
        <f t="shared" si="6"/>
        <v>3.7264853386886214</v>
      </c>
      <c r="AZ16" s="87">
        <f t="shared" si="7"/>
        <v>0.97189400997045294</v>
      </c>
      <c r="BA16" s="71"/>
      <c r="BB16" s="77">
        <f t="shared" si="8"/>
        <v>9.1500000000000005E-10</v>
      </c>
      <c r="BC16" s="78">
        <f t="shared" si="9"/>
        <v>4.7580000000000005E-10</v>
      </c>
      <c r="BD16" s="76">
        <f t="shared" si="10"/>
        <v>5.0118723362727164E-8</v>
      </c>
      <c r="BE16" s="78">
        <f t="shared" si="11"/>
        <v>11.173468963825741</v>
      </c>
      <c r="BF16" s="76">
        <f t="shared" si="12"/>
        <v>1.6766505900352506E-6</v>
      </c>
      <c r="BG16" s="76">
        <f t="shared" si="13"/>
        <v>8.270794318126231E-7</v>
      </c>
      <c r="BH16" s="78">
        <f t="shared" si="14"/>
        <v>6.2313365329882882E-9</v>
      </c>
      <c r="BI16" s="78">
        <f t="shared" si="15"/>
        <v>272.33839931933556</v>
      </c>
      <c r="BJ16" s="91">
        <f t="shared" si="16"/>
        <v>0.4843718279396283</v>
      </c>
      <c r="BL16" s="75">
        <f t="shared" si="17"/>
        <v>1.6766505900352506E-6</v>
      </c>
      <c r="BM16" s="78">
        <f t="shared" si="18"/>
        <v>7.2681541141626018E-8</v>
      </c>
      <c r="BN16" s="78">
        <f t="shared" si="19"/>
        <v>4.6533327508703979E-8</v>
      </c>
      <c r="BO16" s="76">
        <f t="shared" si="20"/>
        <v>8.270794318126231E-7</v>
      </c>
      <c r="BP16" s="78">
        <f t="shared" si="21"/>
        <v>1.8203101744436807E-6</v>
      </c>
      <c r="BQ16" s="78">
        <f t="shared" si="22"/>
        <v>7.8909075999888105E-8</v>
      </c>
      <c r="BR16" s="78">
        <f t="shared" si="23"/>
        <v>5.052041851667675E-8</v>
      </c>
      <c r="BS16" s="78">
        <f t="shared" si="24"/>
        <v>1.8203101744436807E-6</v>
      </c>
      <c r="BT16" s="78">
        <f t="shared" si="25"/>
        <v>415.531946686016</v>
      </c>
      <c r="BU16" s="90">
        <f t="shared" si="26"/>
        <v>0.7390510081819659</v>
      </c>
      <c r="BW16" s="75">
        <f t="shared" si="27"/>
        <v>1.6766505900352506E-6</v>
      </c>
      <c r="BX16" s="76">
        <f t="shared" si="28"/>
        <v>7.2681541141626018E-8</v>
      </c>
      <c r="BY16" s="76">
        <f t="shared" si="29"/>
        <v>4.6533327508703979E-8</v>
      </c>
      <c r="BZ16" s="76">
        <f t="shared" si="30"/>
        <v>8.270794318126231E-7</v>
      </c>
      <c r="CA16" s="78">
        <f t="shared" si="31"/>
        <v>1.8300000000000001E-10</v>
      </c>
      <c r="CB16" s="76">
        <f t="shared" si="32"/>
        <v>9.5160000000000011E-11</v>
      </c>
      <c r="CC16" s="76">
        <f t="shared" si="33"/>
        <v>1E-8</v>
      </c>
      <c r="CD16" s="78">
        <f t="shared" si="34"/>
        <v>56</v>
      </c>
      <c r="CE16" s="78">
        <f t="shared" si="35"/>
        <v>5.5119600000000005E-9</v>
      </c>
      <c r="CF16" s="76">
        <f t="shared" si="36"/>
        <v>1.1236319254153158E+16</v>
      </c>
      <c r="CG16" s="78">
        <f t="shared" si="37"/>
        <v>0.94794851239390809</v>
      </c>
      <c r="CH16" s="76">
        <f t="shared" si="38"/>
        <v>2.5535388549755333E-7</v>
      </c>
      <c r="CI16" s="78">
        <f t="shared" si="39"/>
        <v>3.6197034028094106E+25</v>
      </c>
      <c r="CJ16" s="78">
        <f t="shared" si="40"/>
        <v>-4.6216441993363492E-25</v>
      </c>
      <c r="CK16" s="78">
        <f t="shared" si="41"/>
        <v>8.8704452986822732E-10</v>
      </c>
      <c r="CL16" s="76">
        <f t="shared" si="42"/>
        <v>1.3336073412487933E-14</v>
      </c>
      <c r="CM16" s="76">
        <f t="shared" si="43"/>
        <v>1.0536545380636013E-30</v>
      </c>
      <c r="CN16" s="78">
        <f t="shared" si="44"/>
        <v>521.45486669865954</v>
      </c>
      <c r="CO16" s="90">
        <f t="shared" si="45"/>
        <v>0.92744191638829354</v>
      </c>
      <c r="CQ16" s="86">
        <f t="shared" si="46"/>
        <v>3.1227587624803408</v>
      </c>
    </row>
    <row r="17" spans="1:95">
      <c r="A17" s="57"/>
      <c r="B17" s="6">
        <f>0.05*$AB$6*10</f>
        <v>1515.1515151515152</v>
      </c>
      <c r="C17" s="6">
        <v>800</v>
      </c>
      <c r="D17" s="45"/>
      <c r="E17" s="45"/>
      <c r="F17" s="45"/>
      <c r="G17" s="49"/>
      <c r="H17" s="50"/>
      <c r="I17" s="46"/>
      <c r="J17" s="46"/>
      <c r="K17" s="46"/>
      <c r="L17" s="46"/>
      <c r="M17" s="46"/>
      <c r="N17" s="46"/>
      <c r="O17" s="46"/>
      <c r="P17" s="46"/>
      <c r="Q17" s="50"/>
      <c r="R17" s="46"/>
      <c r="S17" s="41"/>
      <c r="T17" s="55"/>
      <c r="U17" s="55"/>
      <c r="V17" s="55"/>
      <c r="W17" s="55"/>
      <c r="X17" s="55"/>
      <c r="Y17" s="55"/>
      <c r="Z17" s="55"/>
      <c r="AA17" s="55"/>
      <c r="AB17" s="41"/>
      <c r="AC17" s="41"/>
      <c r="AD17" s="41"/>
      <c r="AE17" s="35">
        <v>2.92501357907241E-5</v>
      </c>
      <c r="AF17" s="35">
        <v>3.9157722344854102E-5</v>
      </c>
      <c r="AG17" s="19">
        <v>9.8882122950199301E-7</v>
      </c>
      <c r="AH17" s="39"/>
      <c r="AI17" s="39"/>
      <c r="AJ17" s="67"/>
      <c r="AK17" s="67"/>
      <c r="AL17" s="67"/>
      <c r="AM17" s="67"/>
      <c r="AN17" s="67"/>
      <c r="AO17" s="67"/>
      <c r="AP17" s="67"/>
      <c r="AR17" s="21">
        <f t="shared" si="1"/>
        <v>0.97189400997045294</v>
      </c>
      <c r="AS17" s="21">
        <f t="shared" si="2"/>
        <v>0.50397291921995924</v>
      </c>
      <c r="AT17" s="21">
        <f t="shared" si="3"/>
        <v>0.79362037953194342</v>
      </c>
      <c r="AU17" s="36">
        <f t="shared" si="4"/>
        <v>0.99615934068694212</v>
      </c>
      <c r="AV17" s="21">
        <f t="shared" si="5"/>
        <v>3.2656466494092977</v>
      </c>
      <c r="AW17" s="21">
        <f t="shared" si="0"/>
        <v>0.60372657620828041</v>
      </c>
      <c r="AX17" s="21">
        <f t="shared" si="6"/>
        <v>3.8693732256175783</v>
      </c>
      <c r="AZ17" s="87">
        <f t="shared" si="7"/>
        <v>0.97189400997045294</v>
      </c>
      <c r="BA17" s="71"/>
      <c r="BB17" s="77">
        <f t="shared" si="8"/>
        <v>9.1500000000000005E-10</v>
      </c>
      <c r="BC17" s="78">
        <f t="shared" si="9"/>
        <v>4.7580000000000005E-10</v>
      </c>
      <c r="BD17" s="76">
        <f t="shared" si="10"/>
        <v>5.0118723362727164E-8</v>
      </c>
      <c r="BE17" s="78">
        <f t="shared" si="11"/>
        <v>11.173468963825741</v>
      </c>
      <c r="BF17" s="76">
        <f t="shared" si="12"/>
        <v>1.7167688383382987E-6</v>
      </c>
      <c r="BG17" s="76">
        <f t="shared" si="13"/>
        <v>1.0470222609664847E-6</v>
      </c>
      <c r="BH17" s="78">
        <f t="shared" si="14"/>
        <v>6.2313365329882882E-9</v>
      </c>
      <c r="BI17" s="78">
        <f t="shared" si="15"/>
        <v>283.35912661246545</v>
      </c>
      <c r="BJ17" s="91">
        <f t="shared" si="16"/>
        <v>0.50397291921995924</v>
      </c>
      <c r="BL17" s="75">
        <f t="shared" si="17"/>
        <v>1.7167688383382987E-6</v>
      </c>
      <c r="BM17" s="78">
        <f t="shared" si="18"/>
        <v>5.8036567270731307E-8</v>
      </c>
      <c r="BN17" s="78">
        <f t="shared" si="19"/>
        <v>4.6533327508703979E-8</v>
      </c>
      <c r="BO17" s="76">
        <f t="shared" si="20"/>
        <v>1.0470222609664847E-6</v>
      </c>
      <c r="BP17" s="78">
        <f t="shared" si="21"/>
        <v>1.8638658538445757E-6</v>
      </c>
      <c r="BQ17" s="78">
        <f t="shared" si="22"/>
        <v>6.3009284415351092E-8</v>
      </c>
      <c r="BR17" s="78">
        <f t="shared" si="23"/>
        <v>5.052041851667675E-8</v>
      </c>
      <c r="BS17" s="78">
        <f t="shared" si="24"/>
        <v>1.8638658538445757E-6</v>
      </c>
      <c r="BT17" s="78">
        <f t="shared" si="25"/>
        <v>446.21361392610083</v>
      </c>
      <c r="BU17" s="90">
        <f t="shared" si="26"/>
        <v>0.79362037953194342</v>
      </c>
      <c r="BW17" s="75">
        <f t="shared" si="27"/>
        <v>1.7167688383382987E-6</v>
      </c>
      <c r="BX17" s="76">
        <f t="shared" si="28"/>
        <v>5.8036567270731307E-8</v>
      </c>
      <c r="BY17" s="76">
        <f t="shared" si="29"/>
        <v>4.6533327508703979E-8</v>
      </c>
      <c r="BZ17" s="76">
        <f t="shared" si="30"/>
        <v>1.0470222609664847E-6</v>
      </c>
      <c r="CA17" s="78">
        <f t="shared" si="31"/>
        <v>1.8300000000000001E-10</v>
      </c>
      <c r="CB17" s="76">
        <f t="shared" si="32"/>
        <v>9.5160000000000011E-11</v>
      </c>
      <c r="CC17" s="76">
        <f t="shared" si="33"/>
        <v>1E-8</v>
      </c>
      <c r="CD17" s="78">
        <f t="shared" si="34"/>
        <v>56</v>
      </c>
      <c r="CE17" s="78">
        <f t="shared" si="35"/>
        <v>5.5119600000000005E-9</v>
      </c>
      <c r="CF17" s="76">
        <f t="shared" si="36"/>
        <v>1.1236319254153158E+16</v>
      </c>
      <c r="CG17" s="78">
        <f t="shared" si="37"/>
        <v>0.96139459349479151</v>
      </c>
      <c r="CH17" s="76">
        <f t="shared" si="38"/>
        <v>2.2398488745829106E-7</v>
      </c>
      <c r="CI17" s="78">
        <f t="shared" si="39"/>
        <v>3.5351164994043765E+25</v>
      </c>
      <c r="CJ17" s="78">
        <f t="shared" si="40"/>
        <v>-5.2381060279568485E-25</v>
      </c>
      <c r="CK17" s="78">
        <f t="shared" si="41"/>
        <v>8.8704452986822732E-10</v>
      </c>
      <c r="CL17" s="76">
        <f t="shared" si="42"/>
        <v>1.4859355291584453E-14</v>
      </c>
      <c r="CM17" s="76">
        <f t="shared" si="43"/>
        <v>1.2396855535859316E-30</v>
      </c>
      <c r="CN17" s="78">
        <f t="shared" si="44"/>
        <v>560.09128661277168</v>
      </c>
      <c r="CO17" s="90">
        <f t="shared" si="45"/>
        <v>0.99615934068694212</v>
      </c>
      <c r="CQ17" s="86">
        <f t="shared" si="46"/>
        <v>3.2656466494092977</v>
      </c>
    </row>
    <row r="18" spans="1:95">
      <c r="A18" s="57"/>
      <c r="B18" s="6">
        <f>0.06*$AB$6*10</f>
        <v>1818.181818181818</v>
      </c>
      <c r="C18" s="6">
        <v>800</v>
      </c>
      <c r="D18" s="46"/>
      <c r="E18" s="46"/>
      <c r="F18" s="46"/>
      <c r="G18" s="50"/>
      <c r="H18" s="50"/>
      <c r="I18" s="46"/>
      <c r="J18" s="46"/>
      <c r="K18" s="46"/>
      <c r="L18" s="46"/>
      <c r="M18" s="46"/>
      <c r="N18" s="46"/>
      <c r="O18" s="46"/>
      <c r="P18" s="46"/>
      <c r="Q18" s="50"/>
      <c r="R18" s="46"/>
      <c r="S18" s="41"/>
      <c r="T18" s="55"/>
      <c r="U18" s="55"/>
      <c r="V18" s="55"/>
      <c r="W18" s="55"/>
      <c r="X18" s="55"/>
      <c r="Y18" s="55"/>
      <c r="Z18" s="55"/>
      <c r="AA18" s="55"/>
      <c r="AB18" s="41"/>
      <c r="AC18" s="41"/>
      <c r="AD18" s="41"/>
      <c r="AE18" s="35">
        <v>2.9705849849593399E-5</v>
      </c>
      <c r="AF18" s="35">
        <v>4.74004457084014E-5</v>
      </c>
      <c r="AG18" s="19">
        <v>8.2263016805402199E-7</v>
      </c>
      <c r="AH18" s="39"/>
      <c r="AI18" s="39"/>
      <c r="AJ18" s="67"/>
      <c r="AK18" s="67"/>
      <c r="AL18" s="67"/>
      <c r="AM18" s="67"/>
      <c r="AN18" s="67"/>
      <c r="AO18" s="67"/>
      <c r="AP18" s="67"/>
      <c r="AR18" s="21">
        <f t="shared" si="1"/>
        <v>0.97189400997045294</v>
      </c>
      <c r="AS18" s="21">
        <f t="shared" si="2"/>
        <v>0.52365261375566596</v>
      </c>
      <c r="AT18" s="21">
        <f t="shared" si="3"/>
        <v>0.84840858207711256</v>
      </c>
      <c r="AU18" s="36">
        <f t="shared" si="4"/>
        <v>1.0613302012952406</v>
      </c>
      <c r="AV18" s="21">
        <f t="shared" si="5"/>
        <v>3.4052854070984724</v>
      </c>
      <c r="AW18" s="21">
        <f t="shared" si="0"/>
        <v>0.60372657620828041</v>
      </c>
      <c r="AX18" s="21">
        <f t="shared" si="6"/>
        <v>4.0090119833067526</v>
      </c>
      <c r="AZ18" s="87">
        <f t="shared" si="7"/>
        <v>0.97189400997045294</v>
      </c>
      <c r="BA18" s="71"/>
      <c r="BB18" s="77">
        <f t="shared" si="8"/>
        <v>9.1500000000000005E-10</v>
      </c>
      <c r="BC18" s="78">
        <f t="shared" si="9"/>
        <v>4.7580000000000005E-10</v>
      </c>
      <c r="BD18" s="76">
        <f t="shared" si="10"/>
        <v>5.0118723362727164E-8</v>
      </c>
      <c r="BE18" s="78">
        <f t="shared" si="11"/>
        <v>11.173468963825741</v>
      </c>
      <c r="BF18" s="76">
        <f t="shared" si="12"/>
        <v>1.7435159174307513E-6</v>
      </c>
      <c r="BG18" s="76">
        <f t="shared" si="13"/>
        <v>1.2674210568059651E-6</v>
      </c>
      <c r="BH18" s="78">
        <f t="shared" si="14"/>
        <v>6.2313365329882882E-9</v>
      </c>
      <c r="BI18" s="78">
        <f t="shared" si="15"/>
        <v>294.42404864095283</v>
      </c>
      <c r="BJ18" s="91">
        <f t="shared" si="16"/>
        <v>0.52365261375566596</v>
      </c>
      <c r="BL18" s="75">
        <f t="shared" si="17"/>
        <v>1.7435159174307513E-6</v>
      </c>
      <c r="BM18" s="78">
        <f t="shared" si="18"/>
        <v>4.8282368604934996E-8</v>
      </c>
      <c r="BN18" s="78">
        <f t="shared" si="19"/>
        <v>4.6533327508703979E-8</v>
      </c>
      <c r="BO18" s="76">
        <f t="shared" si="20"/>
        <v>1.2674210568059651E-6</v>
      </c>
      <c r="BP18" s="78">
        <f t="shared" si="21"/>
        <v>1.89290468906642E-6</v>
      </c>
      <c r="BQ18" s="78">
        <f t="shared" si="22"/>
        <v>5.241932179557788E-8</v>
      </c>
      <c r="BR18" s="78">
        <f t="shared" si="23"/>
        <v>5.052041851667675E-8</v>
      </c>
      <c r="BS18" s="78">
        <f t="shared" si="24"/>
        <v>1.89290468906642E-6</v>
      </c>
      <c r="BT18" s="78">
        <f t="shared" si="25"/>
        <v>477.01831915886402</v>
      </c>
      <c r="BU18" s="90">
        <f t="shared" si="26"/>
        <v>0.84840858207711256</v>
      </c>
      <c r="BW18" s="75">
        <f t="shared" si="27"/>
        <v>1.7435159174307513E-6</v>
      </c>
      <c r="BX18" s="76">
        <f t="shared" si="28"/>
        <v>4.8282368604934996E-8</v>
      </c>
      <c r="BY18" s="76">
        <f t="shared" si="29"/>
        <v>4.6533327508703979E-8</v>
      </c>
      <c r="BZ18" s="76">
        <f t="shared" si="30"/>
        <v>1.2674210568059651E-6</v>
      </c>
      <c r="CA18" s="78">
        <f t="shared" si="31"/>
        <v>1.8300000000000001E-10</v>
      </c>
      <c r="CB18" s="76">
        <f t="shared" si="32"/>
        <v>9.5160000000000011E-11</v>
      </c>
      <c r="CC18" s="76">
        <f t="shared" si="33"/>
        <v>1E-8</v>
      </c>
      <c r="CD18" s="78">
        <f t="shared" si="34"/>
        <v>56</v>
      </c>
      <c r="CE18" s="78">
        <f t="shared" si="35"/>
        <v>5.5119600000000005E-9</v>
      </c>
      <c r="CF18" s="76">
        <f t="shared" si="36"/>
        <v>1.1236319254153158E+16</v>
      </c>
      <c r="CG18" s="78">
        <f t="shared" si="37"/>
        <v>0.97036429422812276</v>
      </c>
      <c r="CH18" s="76">
        <f t="shared" si="38"/>
        <v>2.0309175091060218E-7</v>
      </c>
      <c r="CI18" s="78">
        <f t="shared" si="39"/>
        <v>3.4808846798578481E+25</v>
      </c>
      <c r="CJ18" s="78">
        <f t="shared" si="40"/>
        <v>-5.8442839572311572E-25</v>
      </c>
      <c r="CK18" s="78">
        <f t="shared" si="41"/>
        <v>8.8704452986822732E-10</v>
      </c>
      <c r="CL18" s="76">
        <f t="shared" si="42"/>
        <v>1.6281451494394094E-14</v>
      </c>
      <c r="CM18" s="76">
        <f t="shared" si="43"/>
        <v>1.4361005241503073E-30</v>
      </c>
      <c r="CN18" s="78">
        <f t="shared" si="44"/>
        <v>596.73364860938989</v>
      </c>
      <c r="CO18" s="90">
        <f t="shared" si="45"/>
        <v>1.0613302012952406</v>
      </c>
      <c r="CQ18" s="86">
        <f t="shared" si="46"/>
        <v>3.4052854070984724</v>
      </c>
    </row>
    <row r="19" spans="1:95" ht="15" thickBot="1">
      <c r="A19" s="59"/>
      <c r="B19" s="31">
        <f>0.07*$AB$6*10</f>
        <v>2121.2121212121215</v>
      </c>
      <c r="C19" s="6">
        <v>800</v>
      </c>
      <c r="D19" s="46"/>
      <c r="E19" s="46"/>
      <c r="F19" s="46"/>
      <c r="G19" s="50"/>
      <c r="H19" s="50"/>
      <c r="I19" s="46"/>
      <c r="J19" s="46"/>
      <c r="K19" s="46"/>
      <c r="L19" s="46"/>
      <c r="M19" s="46"/>
      <c r="N19" s="46"/>
      <c r="O19" s="46"/>
      <c r="P19" s="46"/>
      <c r="Q19" s="50"/>
      <c r="R19" s="46"/>
      <c r="S19" s="41"/>
      <c r="T19" s="55"/>
      <c r="U19" s="55"/>
      <c r="V19" s="55"/>
      <c r="W19" s="55"/>
      <c r="X19" s="55"/>
      <c r="Y19" s="55"/>
      <c r="Z19" s="55"/>
      <c r="AA19" s="55"/>
      <c r="AB19" s="41"/>
      <c r="AC19" s="41"/>
      <c r="AD19" s="41"/>
      <c r="AE19" s="35">
        <v>3.0031062422276201E-5</v>
      </c>
      <c r="AF19" s="35">
        <v>5.5652505071150703E-5</v>
      </c>
      <c r="AG19" s="19">
        <v>7.0411800352316105E-7</v>
      </c>
      <c r="AH19" s="39"/>
      <c r="AI19" s="39"/>
      <c r="AJ19" s="67"/>
      <c r="AK19" s="67"/>
      <c r="AL19" s="67"/>
      <c r="AM19" s="67"/>
      <c r="AN19" s="67"/>
      <c r="AO19" s="67"/>
      <c r="AP19" s="67"/>
      <c r="AR19" s="21">
        <f t="shared" si="1"/>
        <v>0.97189400997045294</v>
      </c>
      <c r="AS19" s="21">
        <f t="shared" si="2"/>
        <v>0.54337546162434003</v>
      </c>
      <c r="AT19" s="21">
        <f t="shared" si="3"/>
        <v>0.90331692335425373</v>
      </c>
      <c r="AU19" s="36">
        <f t="shared" si="4"/>
        <v>1.1245718572869974</v>
      </c>
      <c r="AV19" s="21">
        <f t="shared" si="5"/>
        <v>3.5431582522360441</v>
      </c>
      <c r="AW19" s="21">
        <f t="shared" si="0"/>
        <v>0.60372657620828041</v>
      </c>
      <c r="AX19" s="21">
        <f t="shared" si="6"/>
        <v>4.1468848284443247</v>
      </c>
      <c r="AZ19" s="88">
        <f t="shared" si="7"/>
        <v>0.97189400997045294</v>
      </c>
      <c r="BA19" s="71"/>
      <c r="BB19" s="79">
        <f t="shared" si="8"/>
        <v>9.1500000000000005E-10</v>
      </c>
      <c r="BC19" s="80">
        <f t="shared" si="9"/>
        <v>4.7580000000000005E-10</v>
      </c>
      <c r="BD19" s="81">
        <f t="shared" si="10"/>
        <v>5.0118723362727164E-8</v>
      </c>
      <c r="BE19" s="80">
        <f t="shared" si="11"/>
        <v>11.173468963825741</v>
      </c>
      <c r="BF19" s="81">
        <f t="shared" si="12"/>
        <v>1.7626035146512306E-6</v>
      </c>
      <c r="BG19" s="81">
        <f t="shared" si="13"/>
        <v>1.4880694840950678E-6</v>
      </c>
      <c r="BH19" s="80">
        <f t="shared" si="14"/>
        <v>6.2313365329882882E-9</v>
      </c>
      <c r="BI19" s="80">
        <f t="shared" si="15"/>
        <v>305.51323366110825</v>
      </c>
      <c r="BJ19" s="92">
        <f t="shared" si="16"/>
        <v>0.54337546162434003</v>
      </c>
      <c r="BL19" s="84">
        <f t="shared" si="17"/>
        <v>1.7626035146512306E-6</v>
      </c>
      <c r="BM19" s="80">
        <f t="shared" si="18"/>
        <v>4.1326572143466099E-8</v>
      </c>
      <c r="BN19" s="80">
        <f t="shared" si="19"/>
        <v>4.6533327508703979E-8</v>
      </c>
      <c r="BO19" s="81">
        <f t="shared" si="20"/>
        <v>1.4880694840950678E-6</v>
      </c>
      <c r="BP19" s="80">
        <f t="shared" si="21"/>
        <v>1.9136277589968043E-6</v>
      </c>
      <c r="BQ19" s="80">
        <f t="shared" si="22"/>
        <v>4.4867535427313169E-8</v>
      </c>
      <c r="BR19" s="80">
        <f t="shared" si="23"/>
        <v>5.052041851667675E-8</v>
      </c>
      <c r="BS19" s="80">
        <f t="shared" si="24"/>
        <v>1.9136277589968043E-6</v>
      </c>
      <c r="BT19" s="80">
        <f t="shared" si="25"/>
        <v>507.89057247777544</v>
      </c>
      <c r="BU19" s="93">
        <f t="shared" si="26"/>
        <v>0.90331692335425373</v>
      </c>
      <c r="BW19" s="84">
        <f t="shared" si="27"/>
        <v>1.7626035146512306E-6</v>
      </c>
      <c r="BX19" s="81">
        <f t="shared" si="28"/>
        <v>4.1326572143466099E-8</v>
      </c>
      <c r="BY19" s="81">
        <f t="shared" si="29"/>
        <v>4.6533327508703979E-8</v>
      </c>
      <c r="BZ19" s="81">
        <f t="shared" si="30"/>
        <v>1.4880694840950678E-6</v>
      </c>
      <c r="CA19" s="80">
        <f t="shared" si="31"/>
        <v>1.8300000000000001E-10</v>
      </c>
      <c r="CB19" s="81">
        <f t="shared" si="32"/>
        <v>9.5160000000000011E-11</v>
      </c>
      <c r="CC19" s="81">
        <f t="shared" si="33"/>
        <v>1E-8</v>
      </c>
      <c r="CD19" s="80">
        <f t="shared" si="34"/>
        <v>56</v>
      </c>
      <c r="CE19" s="80">
        <f t="shared" si="35"/>
        <v>5.5119600000000005E-9</v>
      </c>
      <c r="CF19" s="81">
        <f t="shared" si="36"/>
        <v>1.1236319254153158E+16</v>
      </c>
      <c r="CG19" s="80">
        <f t="shared" si="37"/>
        <v>0.97676807154147482</v>
      </c>
      <c r="CH19" s="81">
        <f t="shared" si="38"/>
        <v>1.8819268946570836E-7</v>
      </c>
      <c r="CI19" s="80">
        <f t="shared" si="39"/>
        <v>3.4431894612861267E+25</v>
      </c>
      <c r="CJ19" s="80">
        <f t="shared" si="40"/>
        <v>-6.4445359628789715E-25</v>
      </c>
      <c r="CK19" s="80">
        <f t="shared" si="41"/>
        <v>8.8704452986822732E-10</v>
      </c>
      <c r="CL19" s="81">
        <f t="shared" si="42"/>
        <v>1.7645539714220184E-14</v>
      </c>
      <c r="CM19" s="81">
        <f t="shared" si="43"/>
        <v>1.6384459323021588E-30</v>
      </c>
      <c r="CN19" s="80">
        <f t="shared" si="44"/>
        <v>632.29131395991431</v>
      </c>
      <c r="CO19" s="93">
        <f t="shared" si="45"/>
        <v>1.1245718572869974</v>
      </c>
      <c r="CQ19" s="96">
        <f t="shared" si="46"/>
        <v>3.5431582522360441</v>
      </c>
    </row>
    <row r="20" spans="1:95">
      <c r="B20" s="32"/>
    </row>
    <row r="27" spans="1:95">
      <c r="W27" s="33"/>
      <c r="X27" s="33"/>
    </row>
    <row r="28" spans="1:95">
      <c r="W28" s="33"/>
      <c r="X28" s="33"/>
    </row>
    <row r="29" spans="1:95">
      <c r="W29" s="33"/>
      <c r="X29" s="33"/>
    </row>
    <row r="30" spans="1:95">
      <c r="W30" s="33"/>
      <c r="X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</row>
    <row r="31" spans="1:95">
      <c r="W31" s="33"/>
      <c r="X31" s="33"/>
    </row>
    <row r="32" spans="1:95">
      <c r="W32" s="33"/>
      <c r="X32" s="33"/>
      <c r="AA32" s="33"/>
    </row>
    <row r="33" spans="22:40">
      <c r="W33" s="33"/>
      <c r="X33" s="33"/>
      <c r="AA33" s="33"/>
    </row>
    <row r="34" spans="22:40"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</row>
    <row r="35" spans="22:40">
      <c r="W35" s="33"/>
      <c r="X35" s="33"/>
      <c r="AA35" s="33"/>
      <c r="AB35" s="33"/>
    </row>
    <row r="36" spans="22:40">
      <c r="W36" s="33"/>
      <c r="X36" s="33"/>
      <c r="AA36" s="33"/>
      <c r="AB36" s="33"/>
    </row>
    <row r="37" spans="22:40">
      <c r="W37" s="33"/>
      <c r="X37" s="33"/>
      <c r="AA37" s="33"/>
      <c r="AB37" s="33"/>
    </row>
    <row r="38" spans="22:40">
      <c r="W38" s="33"/>
      <c r="X38" s="33"/>
      <c r="AA38" s="33"/>
      <c r="AB38" s="33"/>
    </row>
    <row r="39" spans="22:40">
      <c r="W39" s="33"/>
      <c r="X39" s="33"/>
      <c r="AA39" s="33"/>
      <c r="AB39" s="33"/>
    </row>
    <row r="40" spans="22:40"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</row>
    <row r="41" spans="22:40"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</row>
    <row r="42" spans="22:40">
      <c r="AA42" s="33"/>
      <c r="AB42" s="33"/>
    </row>
    <row r="43" spans="22:40">
      <c r="AA43" s="33"/>
      <c r="AB43" s="33"/>
    </row>
    <row r="44" spans="22:40">
      <c r="AA44" s="33"/>
      <c r="AB44" s="33"/>
    </row>
    <row r="45" spans="22:40">
      <c r="AA45" s="33"/>
      <c r="AB45" s="33"/>
    </row>
    <row r="46" spans="22:40">
      <c r="AB46" s="33"/>
    </row>
    <row r="47" spans="22:40">
      <c r="AB47" s="33"/>
    </row>
    <row r="48" spans="22:40">
      <c r="AB48" s="33"/>
    </row>
  </sheetData>
  <mergeCells count="8">
    <mergeCell ref="BB2:BJ2"/>
    <mergeCell ref="BL2:BU2"/>
    <mergeCell ref="BW2:CO2"/>
    <mergeCell ref="D1:S1"/>
    <mergeCell ref="AR1:AX1"/>
    <mergeCell ref="T1:AA1"/>
    <mergeCell ref="AE1:AI1"/>
    <mergeCell ref="AJ1:AP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T32"/>
  <sheetViews>
    <sheetView workbookViewId="0">
      <selection activeCell="G4" sqref="G4"/>
    </sheetView>
  </sheetViews>
  <sheetFormatPr defaultRowHeight="14.4"/>
  <sheetData>
    <row r="2" spans="1:16" ht="15">
      <c r="C2" t="s">
        <v>116</v>
      </c>
      <c r="D2" t="s">
        <v>117</v>
      </c>
    </row>
    <row r="3" spans="1:16" ht="15">
      <c r="B3" t="s">
        <v>119</v>
      </c>
      <c r="C3" s="59">
        <v>121.212121212121</v>
      </c>
      <c r="D3" s="59">
        <v>181.81818181818201</v>
      </c>
      <c r="E3" s="68">
        <v>303.030303030303</v>
      </c>
      <c r="F3" s="59">
        <v>424.24242424242402</v>
      </c>
      <c r="G3" s="59">
        <v>484.84848484848499</v>
      </c>
      <c r="H3" s="59">
        <v>545.45454545454504</v>
      </c>
      <c r="I3" s="59">
        <v>606.06060606060601</v>
      </c>
      <c r="J3" s="59">
        <v>727.27272727272702</v>
      </c>
      <c r="K3" s="59">
        <v>848.48484848484895</v>
      </c>
      <c r="L3" s="59">
        <v>1000</v>
      </c>
      <c r="M3" s="59">
        <v>1212.12121212121</v>
      </c>
      <c r="N3" s="59">
        <v>1515.15151515152</v>
      </c>
      <c r="O3" s="59">
        <v>1818.1818181818201</v>
      </c>
      <c r="P3" s="59">
        <v>2121.2121212121201</v>
      </c>
    </row>
    <row r="4" spans="1:16" ht="15">
      <c r="A4" t="s">
        <v>118</v>
      </c>
      <c r="B4" s="59">
        <v>100</v>
      </c>
      <c r="C4">
        <v>1.5229981634560401</v>
      </c>
      <c r="D4">
        <v>1.46189504520372</v>
      </c>
      <c r="E4" s="69">
        <v>1.7556158071870001</v>
      </c>
      <c r="F4">
        <v>2.1515808340507898</v>
      </c>
      <c r="G4">
        <v>2.3613155259661198</v>
      </c>
      <c r="H4">
        <v>2.5750964458546601</v>
      </c>
      <c r="I4">
        <v>2.79161744214128</v>
      </c>
      <c r="J4">
        <v>3.2299692356121401</v>
      </c>
      <c r="K4">
        <v>3.67273716608964</v>
      </c>
      <c r="L4">
        <v>4.2298461096882001</v>
      </c>
      <c r="M4">
        <v>5.0137696312514404</v>
      </c>
      <c r="N4">
        <v>6.1380142943481903</v>
      </c>
      <c r="O4">
        <v>7.2649635514404798</v>
      </c>
      <c r="P4">
        <v>8.3933784374499307</v>
      </c>
    </row>
    <row r="5" spans="1:16">
      <c r="B5" s="59">
        <v>150</v>
      </c>
      <c r="C5">
        <v>1.00564928974386</v>
      </c>
      <c r="D5">
        <v>0.95000344151677196</v>
      </c>
      <c r="E5" s="69">
        <v>1.1426115759647899</v>
      </c>
      <c r="F5">
        <v>1.40675931314947</v>
      </c>
      <c r="G5">
        <v>1.54663024714942</v>
      </c>
      <c r="H5">
        <v>1.68925039499494</v>
      </c>
      <c r="I5">
        <v>1.8337524177842599</v>
      </c>
      <c r="J5">
        <v>2.1264392431938002</v>
      </c>
      <c r="K5">
        <v>2.4222158569615102</v>
      </c>
      <c r="L5">
        <v>2.79451017586632</v>
      </c>
      <c r="M5">
        <v>3.3185401961074699</v>
      </c>
      <c r="N5">
        <v>4.0702613752683003</v>
      </c>
      <c r="O5">
        <v>4.8239223764910202</v>
      </c>
      <c r="P5">
        <v>5.5786400715750304</v>
      </c>
    </row>
    <row r="6" spans="1:16">
      <c r="B6" s="59">
        <v>200</v>
      </c>
      <c r="C6">
        <v>0.79883296277590998</v>
      </c>
      <c r="D6">
        <v>0.75124255195452305</v>
      </c>
      <c r="E6" s="69">
        <v>0.87275467935504303</v>
      </c>
      <c r="F6">
        <v>1.07585842710302</v>
      </c>
      <c r="G6">
        <v>1.18382209327453</v>
      </c>
      <c r="H6">
        <v>1.29403898467695</v>
      </c>
      <c r="I6">
        <v>1.40580849876827</v>
      </c>
      <c r="J6">
        <v>1.6324035993455701</v>
      </c>
      <c r="K6">
        <v>1.86157510347732</v>
      </c>
      <c r="L6">
        <v>2.1501942299301899</v>
      </c>
      <c r="M6">
        <v>2.5566272513767401</v>
      </c>
      <c r="N6">
        <v>3.1398612016768301</v>
      </c>
      <c r="O6">
        <v>3.7247322196361199</v>
      </c>
      <c r="P6">
        <v>4.3104979013205202</v>
      </c>
    </row>
    <row r="7" spans="1:16">
      <c r="B7" s="59">
        <v>300</v>
      </c>
      <c r="C7">
        <v>0.62986683194489801</v>
      </c>
      <c r="D7">
        <v>0.57472038419875704</v>
      </c>
      <c r="E7" s="69">
        <v>0.64299936837049998</v>
      </c>
      <c r="F7">
        <v>0.77744844948652303</v>
      </c>
      <c r="G7">
        <v>0.85631191086132696</v>
      </c>
      <c r="H7">
        <v>0.93700583257873604</v>
      </c>
      <c r="I7">
        <v>1.01897144104599</v>
      </c>
      <c r="J7">
        <v>1.1854228902800801</v>
      </c>
      <c r="K7">
        <v>1.35401026402304</v>
      </c>
      <c r="L7">
        <v>1.56653797336718</v>
      </c>
      <c r="M7">
        <v>1.86605091580701</v>
      </c>
      <c r="N7">
        <v>2.2961121742086101</v>
      </c>
      <c r="O7">
        <v>2.72754393971959</v>
      </c>
      <c r="P7">
        <v>3.1597268935112699</v>
      </c>
    </row>
    <row r="8" spans="1:16">
      <c r="B8" s="59">
        <v>400</v>
      </c>
      <c r="C8">
        <v>0.53736101168832895</v>
      </c>
      <c r="D8">
        <v>0.49673448003523601</v>
      </c>
      <c r="E8" s="69">
        <v>0.53809912336756804</v>
      </c>
      <c r="F8">
        <v>0.64009954331140795</v>
      </c>
      <c r="G8">
        <v>0.70535204123468298</v>
      </c>
      <c r="H8">
        <v>0.772392955831949</v>
      </c>
      <c r="I8">
        <v>0.84057693559458602</v>
      </c>
      <c r="J8">
        <v>0.97921983621043396</v>
      </c>
      <c r="K8">
        <v>1.1197965395061</v>
      </c>
      <c r="L8">
        <v>1.2971442157003099</v>
      </c>
      <c r="M8">
        <v>1.5472227958445</v>
      </c>
      <c r="N8">
        <v>1.90646180678979</v>
      </c>
      <c r="O8">
        <v>2.26694491132361</v>
      </c>
      <c r="P8">
        <v>2.6281104847177401</v>
      </c>
    </row>
    <row r="9" spans="1:16">
      <c r="B9" s="59">
        <v>600</v>
      </c>
      <c r="C9">
        <v>0.45344430479130599</v>
      </c>
      <c r="D9">
        <v>0.411133037219585</v>
      </c>
      <c r="E9" s="69">
        <v>0.441322285873333</v>
      </c>
      <c r="F9">
        <v>0.50964790102778501</v>
      </c>
      <c r="G9">
        <v>0.55922187999940298</v>
      </c>
      <c r="H9">
        <v>0.61306948089541102</v>
      </c>
      <c r="I9">
        <v>0.66794182263919</v>
      </c>
      <c r="J9">
        <v>0.77969678835309197</v>
      </c>
      <c r="K9">
        <v>0.89316614685779705</v>
      </c>
      <c r="L9">
        <v>1.0364478479967001</v>
      </c>
      <c r="M9">
        <v>1.2386346700650099</v>
      </c>
      <c r="N9">
        <v>1.52923577768206</v>
      </c>
      <c r="O9">
        <v>1.82094207622098</v>
      </c>
      <c r="P9">
        <v>2.1132550093619602</v>
      </c>
    </row>
    <row r="10" spans="1:16">
      <c r="B10" s="59">
        <v>800</v>
      </c>
      <c r="C10">
        <v>0.40750775423381103</v>
      </c>
      <c r="D10">
        <v>0.36672273018977197</v>
      </c>
      <c r="E10" s="69">
        <v>0.38801175654604803</v>
      </c>
      <c r="F10">
        <v>0.44513830246201902</v>
      </c>
      <c r="G10">
        <v>0.485688653861018</v>
      </c>
      <c r="H10">
        <v>0.53258156133727597</v>
      </c>
      <c r="I10">
        <v>0.58073783341240603</v>
      </c>
      <c r="J10">
        <v>0.67893732467746104</v>
      </c>
      <c r="K10">
        <v>0.77872866338899804</v>
      </c>
      <c r="L10">
        <v>0.90481046288195099</v>
      </c>
      <c r="M10">
        <v>1.0828046120186501</v>
      </c>
      <c r="N10">
        <v>1.3387193353567901</v>
      </c>
      <c r="O10">
        <v>1.5956603143286301</v>
      </c>
      <c r="P10">
        <v>1.85316470954651</v>
      </c>
    </row>
    <row r="11" spans="1:16">
      <c r="B11" s="59">
        <v>1000</v>
      </c>
      <c r="C11">
        <v>0.38309308456535102</v>
      </c>
      <c r="D11">
        <v>0.33918342413910901</v>
      </c>
      <c r="E11" s="69">
        <v>0.35650032197551601</v>
      </c>
      <c r="F11">
        <v>0.40561897400608499</v>
      </c>
      <c r="G11">
        <v>0.44052735992730502</v>
      </c>
      <c r="H11">
        <v>0.48315441044555901</v>
      </c>
      <c r="I11">
        <v>0.52710781746459401</v>
      </c>
      <c r="J11">
        <v>0.61697938067568803</v>
      </c>
      <c r="K11">
        <v>0.70836294055636695</v>
      </c>
      <c r="L11">
        <v>0.823868072992191</v>
      </c>
      <c r="M11">
        <v>0.98698104097427897</v>
      </c>
      <c r="N11">
        <v>1.2215548501912901</v>
      </c>
      <c r="O11">
        <v>1.45710328800236</v>
      </c>
      <c r="P11">
        <v>1.69318687393698</v>
      </c>
    </row>
    <row r="12" spans="1:16">
      <c r="B12" s="59">
        <v>1300</v>
      </c>
      <c r="C12">
        <v>0.35553088688340401</v>
      </c>
      <c r="D12">
        <v>0.315505434400289</v>
      </c>
      <c r="E12" s="69">
        <v>0.32514683669087102</v>
      </c>
      <c r="F12">
        <v>0.36715729089295801</v>
      </c>
      <c r="G12">
        <v>0.39775639894069398</v>
      </c>
      <c r="H12">
        <v>0.43609430104497499</v>
      </c>
      <c r="I12">
        <v>0.47601993153627797</v>
      </c>
      <c r="J12">
        <v>0.55795794296983703</v>
      </c>
      <c r="K12">
        <v>0.64133106941342699</v>
      </c>
      <c r="L12">
        <v>0.74675700273964096</v>
      </c>
      <c r="M12">
        <v>0.89568605079022201</v>
      </c>
      <c r="N12">
        <v>1.1099159254395199</v>
      </c>
      <c r="O12">
        <v>1.32506937422736</v>
      </c>
      <c r="P12">
        <v>1.5407300139560001</v>
      </c>
    </row>
    <row r="13" spans="1:16">
      <c r="B13" s="59">
        <v>1600</v>
      </c>
      <c r="C13">
        <v>0.33734899530287099</v>
      </c>
      <c r="D13">
        <v>0.297736542625125</v>
      </c>
      <c r="E13" s="69">
        <v>0.30607843383766398</v>
      </c>
      <c r="F13">
        <v>0.34268006996941103</v>
      </c>
      <c r="G13">
        <v>0.37007014462743099</v>
      </c>
      <c r="H13">
        <v>0.40557596851969702</v>
      </c>
      <c r="I13">
        <v>0.44291638108000397</v>
      </c>
      <c r="J13">
        <v>0.51969538429608197</v>
      </c>
      <c r="K13">
        <v>0.597875003835871</v>
      </c>
      <c r="L13">
        <v>0.69676558998757698</v>
      </c>
      <c r="M13">
        <v>0.836497066017441</v>
      </c>
      <c r="N13">
        <v>1.03753401189646</v>
      </c>
      <c r="O13">
        <v>1.23946082006216</v>
      </c>
      <c r="P13">
        <v>1.44187633497237</v>
      </c>
    </row>
    <row r="14" spans="1:16">
      <c r="B14" s="59">
        <v>2000</v>
      </c>
      <c r="C14">
        <v>0.32424884924115699</v>
      </c>
      <c r="D14">
        <v>0.28193749797845402</v>
      </c>
      <c r="E14" s="69">
        <v>0.28849798575612701</v>
      </c>
      <c r="F14">
        <v>0.32050359836608</v>
      </c>
      <c r="G14">
        <v>0.34507946767810699</v>
      </c>
      <c r="H14">
        <v>0.378050872361746</v>
      </c>
      <c r="I14">
        <v>0.413070744348705</v>
      </c>
      <c r="J14">
        <v>0.48518950151289397</v>
      </c>
      <c r="K14">
        <v>0.55868024908352598</v>
      </c>
      <c r="L14">
        <v>0.65167049453033199</v>
      </c>
      <c r="M14">
        <v>0.78309802822881003</v>
      </c>
      <c r="N14">
        <v>0.97222377512185498</v>
      </c>
      <c r="O14">
        <v>1.1622088837359901</v>
      </c>
      <c r="P14">
        <v>1.3526659732356401</v>
      </c>
    </row>
    <row r="15" spans="1:16">
      <c r="B15" s="59">
        <v>2400</v>
      </c>
      <c r="C15">
        <v>0.31716692924700501</v>
      </c>
      <c r="D15">
        <v>0.27325385633071197</v>
      </c>
      <c r="E15" s="69">
        <v>0.27555138382032401</v>
      </c>
      <c r="F15">
        <v>0.30521992962211197</v>
      </c>
      <c r="G15">
        <v>0.327794035306961</v>
      </c>
      <c r="H15">
        <v>0.359025676700029</v>
      </c>
      <c r="I15">
        <v>0.392444025837415</v>
      </c>
      <c r="J15">
        <v>0.46133360161859799</v>
      </c>
      <c r="K15">
        <v>0.53157716850682801</v>
      </c>
      <c r="L15">
        <v>0.62048210376493496</v>
      </c>
      <c r="M15">
        <v>0.74616097900414302</v>
      </c>
      <c r="N15">
        <v>0.92704172860749701</v>
      </c>
      <c r="O15">
        <v>1.1087612519238099</v>
      </c>
      <c r="P15">
        <v>1.2909414533138399</v>
      </c>
    </row>
    <row r="18" spans="8:20">
      <c r="T18">
        <v>2400</v>
      </c>
    </row>
    <row r="32" spans="8:20">
      <c r="H32">
        <v>2400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analytical model of rm</vt:lpstr>
      <vt:lpstr>ratio between lkb and An</vt:lpstr>
      <vt:lpstr>'analytical model of rm'!OLE_LINK16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2019-11-01T23:08:12Z</dcterms:modified>
</cp:coreProperties>
</file>